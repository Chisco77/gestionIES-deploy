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verso" sheetId="1" state="visible" r:id="rId2"/>
    <sheet name="Reverso" sheetId="2" state="visible" r:id="rId3"/>
    <sheet name="Autoliquidación" sheetId="3" state="visible" r:id="rId4"/>
    <sheet name="Instrucciones" sheetId="4" state="visible" r:id="rId5"/>
  </sheets>
  <definedNames>
    <definedName function="false" hidden="false" localSheetId="0" name="_xlnm.Print_Area" vbProcedure="false">Anverso!$A$1:$R$43</definedName>
    <definedName function="false" hidden="false" localSheetId="2" name="_xlnm.Print_Area" vbProcedure="false">Autoliquidación!$A$1:$M$31</definedName>
    <definedName function="false" hidden="false" localSheetId="3" name="_xlnm.Print_Area" vbProcedure="false">Instrucciones!$A$1:$F$44</definedName>
    <definedName function="false" hidden="false" localSheetId="1" name="_xlnm.Print_Area" vbProcedure="false">Reverso!$A$1:$P$50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8" authorId="0">
      <text>
        <r>
          <rPr>
            <sz val="10"/>
            <rFont val="Arial"/>
            <family val="0"/>
            <charset val="1"/>
          </rPr>
          <t xml:space="preserve">CONSIGNAR HORA, DIA Y MES DE  INICIO DE LA COMISIÓN.</t>
        </r>
      </text>
    </comment>
    <comment ref="A11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 08,45    10,30</t>
        </r>
      </text>
    </comment>
    <comment ref="A12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 08,45    10,30</t>
        </r>
      </text>
    </comment>
    <comment ref="A13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 08,45    10,30</t>
        </r>
      </text>
    </comment>
    <comment ref="A14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 08,45    10,30</t>
        </r>
      </text>
    </comment>
    <comment ref="A15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 08,45    10,30</t>
        </r>
      </text>
    </comment>
    <comment ref="A16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 08,45    10,30</t>
        </r>
      </text>
    </comment>
    <comment ref="A17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 08,45    10,30</t>
        </r>
      </text>
    </comment>
    <comment ref="C1" authorId="0">
      <text>
        <r>
          <rPr>
            <sz val="10"/>
            <rFont val="Arial"/>
            <family val="0"/>
            <charset val="1"/>
          </rPr>
          <t xml:space="preserve">cec:
</t>
        </r>
        <r>
          <rPr>
            <sz val="8"/>
            <color rgb="FF000000"/>
            <rFont val="Tahoma"/>
            <family val="2"/>
            <charset val="1"/>
          </rPr>
          <t xml:space="preserve">DENOMINACION DEL CENTRO</t>
        </r>
      </text>
    </comment>
    <comment ref="D3" authorId="0">
      <text>
        <r>
          <rPr>
            <sz val="10"/>
            <rFont val="Arial"/>
            <family val="0"/>
            <charset val="1"/>
          </rPr>
          <t xml:space="preserve">cec:
</t>
        </r>
        <r>
          <rPr>
            <sz val="8"/>
            <color rgb="FF000000"/>
            <rFont val="Tahoma"/>
            <family val="2"/>
            <charset val="1"/>
          </rPr>
          <t xml:space="preserve">LOCALIDAD DONDE RADICA EL CENTRO
</t>
        </r>
      </text>
    </comment>
    <comment ref="D8" authorId="0">
      <text>
        <r>
          <rPr>
            <sz val="10"/>
            <rFont val="Arial"/>
            <family val="0"/>
            <charset val="1"/>
          </rPr>
          <t xml:space="preserve">EN ESTAS CELDAS FIGURARÁN LOS DATOS RELATIVOS AL REGRESO A LA LOCALIDAD DE PARTIDA, CONSIGNANDO EN "15 horas" UNA "X"  SEGÚN SEA ANTERIOR O POSTERIOR A DICHA HORA. </t>
        </r>
      </text>
    </comment>
    <comment ref="D9" authorId="0">
      <text>
        <r>
          <rPr>
            <sz val="10"/>
            <rFont val="Arial"/>
            <family val="0"/>
            <charset val="1"/>
          </rPr>
          <t xml:space="preserve">CONSIGNAR UNA X EN ANT. O POST. SEGÚN PROCEDA.
</t>
        </r>
      </text>
    </comment>
    <comment ref="H8" authorId="0">
      <text>
        <r>
          <rPr>
            <sz val="10"/>
            <rFont val="Arial"/>
            <family val="0"/>
            <charset val="1"/>
          </rPr>
          <t xml:space="preserve">CONSIGNAR LAS LOCALIDADES A DONDE SE REALIZA LA COMISIÓN
</t>
        </r>
      </text>
    </comment>
    <comment ref="H11" authorId="0">
      <text>
        <r>
          <rPr>
            <sz val="10"/>
            <rFont val="Arial"/>
            <family val="0"/>
            <charset val="1"/>
          </rPr>
          <t xml:space="preserve">
no ponga el origen, sólo la/s localidad/es de DESTINO</t>
        </r>
      </text>
    </comment>
    <comment ref="H12" authorId="0">
      <text>
        <r>
          <rPr>
            <sz val="10"/>
            <rFont val="Arial"/>
            <family val="0"/>
            <charset val="1"/>
          </rPr>
          <t xml:space="preserve">
no ponga el origen, sólo la/s localidad/es de DESTINO</t>
        </r>
      </text>
    </comment>
    <comment ref="H13" authorId="0">
      <text>
        <r>
          <rPr>
            <sz val="10"/>
            <rFont val="Arial"/>
            <family val="0"/>
            <charset val="1"/>
          </rPr>
          <t xml:space="preserve">
no ponga el origen, sólo la/s localidad/es de DESTINO</t>
        </r>
      </text>
    </comment>
    <comment ref="H14" authorId="0">
      <text>
        <r>
          <rPr>
            <sz val="10"/>
            <rFont val="Arial"/>
            <family val="0"/>
            <charset val="1"/>
          </rPr>
          <t xml:space="preserve">
no ponga el origen, sólo la/s localidad/es de DESTINO</t>
        </r>
      </text>
    </comment>
    <comment ref="H15" authorId="0">
      <text>
        <r>
          <rPr>
            <sz val="10"/>
            <rFont val="Arial"/>
            <family val="0"/>
            <charset val="1"/>
          </rPr>
          <t xml:space="preserve">
no ponga el origen, sólo la/s localidad/es de DESTINO</t>
        </r>
      </text>
    </comment>
    <comment ref="H16" authorId="0">
      <text>
        <r>
          <rPr>
            <sz val="10"/>
            <rFont val="Arial"/>
            <family val="0"/>
            <charset val="1"/>
          </rPr>
          <t xml:space="preserve">
no ponga el origen, sólo la/s localidad/es de DESTINO</t>
        </r>
      </text>
    </comment>
    <comment ref="H27" authorId="0">
      <text>
        <r>
          <rPr>
            <sz val="10"/>
            <rFont val="Arial"/>
            <family val="0"/>
            <charset val="1"/>
          </rPr>
          <t xml:space="preserve">LOCALIDAD
</t>
        </r>
      </text>
    </comment>
    <comment ref="I39" authorId="0">
      <text>
        <r>
          <rPr>
            <sz val="10"/>
            <rFont val="Arial"/>
            <family val="0"/>
            <charset val="1"/>
          </rPr>
          <t xml:space="preserve">LA FECHA SERÁ IGUAL O POSTERIOR A LA DE LA ÚLTIMA COMISIÓN
</t>
        </r>
        <r>
          <rPr>
            <sz val="8"/>
            <color rgb="FF000000"/>
            <rFont val="Tahoma"/>
            <family val="2"/>
            <charset val="1"/>
          </rPr>
          <t xml:space="preserve">
</t>
        </r>
      </text>
    </comment>
    <comment ref="J33" authorId="0">
      <text>
        <r>
          <rPr>
            <sz val="10"/>
            <rFont val="Arial"/>
            <family val="0"/>
            <charset val="1"/>
          </rPr>
          <t xml:space="preserve">NOMBRE DEL DIRECTOR DEL CENTRO
</t>
        </r>
      </text>
    </comment>
    <comment ref="K27" authorId="0">
      <text>
        <r>
          <rPr>
            <sz val="10"/>
            <rFont val="Arial"/>
            <family val="0"/>
            <charset val="1"/>
          </rPr>
          <t xml:space="preserve">FECHA
Esta fecha será la misma o anterior a la de la primera comisión.
</t>
        </r>
      </text>
    </comment>
    <comment ref="L1" authorId="0">
      <text>
        <r>
          <rPr>
            <sz val="10"/>
            <rFont val="Arial"/>
            <family val="0"/>
            <charset val="1"/>
          </rPr>
          <t xml:space="preserve">PARA DESPLAZAMIENTOS DESDE EL 29MAY2025 EN ADELANTE
</t>
        </r>
      </text>
    </comment>
    <comment ref="L8" authorId="0">
      <text>
        <r>
          <rPr>
            <sz val="10"/>
            <rFont val="Arial"/>
            <family val="0"/>
            <charset val="1"/>
          </rPr>
          <t xml:space="preserve">CONSIGNAR: 
</t>
        </r>
        <r>
          <rPr>
            <sz val="8"/>
            <color rgb="FF000000"/>
            <rFont val="Tahoma"/>
            <family val="2"/>
            <charset val="1"/>
          </rPr>
          <t xml:space="preserve">VEHICULO PROPIO O EL MEDIO DE TRANSPORTE QUE VA A UTILIZARSE
</t>
        </r>
      </text>
    </comment>
    <comment ref="M8" authorId="0">
      <text>
        <r>
          <rPr>
            <sz val="10"/>
            <rFont val="Arial"/>
            <family val="0"/>
            <charset val="1"/>
          </rPr>
          <t xml:space="preserve">CONSIGNAR  ESCUETAMENTE EL OBJETO DEL VIAJE O COMISIÓN</t>
        </r>
      </text>
    </comment>
    <comment ref="O4" authorId="0">
      <text>
        <r>
          <rPr>
            <sz val="10"/>
            <rFont val="Arial"/>
            <family val="0"/>
            <charset val="1"/>
          </rPr>
          <t xml:space="preserve">CONSIGNAR  F ó  L
F  para funcionarios 
L   para  laborales</t>
        </r>
      </text>
    </comment>
    <comment ref="O5" authorId="0">
      <text>
        <r>
          <rPr>
            <sz val="10"/>
            <rFont val="Arial"/>
            <family val="0"/>
            <charset val="1"/>
          </rPr>
          <t xml:space="preserve">CONSIGNAR:
221-B: C P R
222-A: COL PUBLICOS, CRAS
222-B: IES,IESOS
222-C: E O I,CONSERVATORIO
222-C: EDUC ESPECIAL,EQUIPOS
222-E: ADULTOS</t>
        </r>
      </text>
    </comment>
    <comment ref="P3" authorId="0">
      <text>
        <r>
          <rPr>
            <sz val="10"/>
            <rFont val="Arial"/>
            <family val="0"/>
            <charset val="1"/>
          </rPr>
          <t xml:space="preserve">Consignar el porcentaje que a efectos de retención del I.R.P.F. figura en la nómina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3" authorId="0">
      <text>
        <r>
          <rPr>
            <sz val="10"/>
            <rFont val="Arial"/>
            <family val="0"/>
            <charset val="1"/>
          </rPr>
          <t xml:space="preserve">EL MEDIO DE LOCOMOCIÓN UTILIZADO COINCIDIRÁ CON EL QUE FIGURA EN EL APARTADO "I-PROPUESTA"</t>
        </r>
      </text>
    </comment>
    <comment ref="A8" authorId="0">
      <text>
        <r>
          <rPr>
            <sz val="10"/>
            <rFont val="Arial"/>
            <family val="0"/>
            <charset val="1"/>
          </rPr>
          <t xml:space="preserve">cec:
</t>
        </r>
        <r>
          <rPr>
            <sz val="8"/>
            <color rgb="FF000000"/>
            <rFont val="Tahoma"/>
            <family val="2"/>
            <charset val="1"/>
          </rPr>
          <t xml:space="preserve">SEPARAR HORAS Y MINUTOS CON COMA
8,30     12,45</t>
        </r>
      </text>
    </comment>
    <comment ref="A9" authorId="0">
      <text>
        <r>
          <rPr>
            <sz val="10"/>
            <rFont val="Arial"/>
            <family val="0"/>
            <charset val="1"/>
          </rPr>
          <t xml:space="preserve">cec:
</t>
        </r>
        <r>
          <rPr>
            <sz val="8"/>
            <color rgb="FF000000"/>
            <rFont val="Tahoma"/>
            <family val="2"/>
            <charset val="1"/>
          </rPr>
          <t xml:space="preserve">SEPARAR HORAS Y MINUTOS CON COMA
8,30     12,45</t>
        </r>
      </text>
    </comment>
    <comment ref="A10" authorId="0">
      <text>
        <r>
          <rPr>
            <sz val="10"/>
            <rFont val="Arial"/>
            <family val="0"/>
            <charset val="1"/>
          </rPr>
          <t xml:space="preserve">cec:
</t>
        </r>
        <r>
          <rPr>
            <sz val="8"/>
            <color rgb="FF000000"/>
            <rFont val="Tahoma"/>
            <family val="2"/>
            <charset val="1"/>
          </rPr>
          <t xml:space="preserve">SEPARAR HORAS Y MINUTOS CON COMA
8,30     12,45</t>
        </r>
      </text>
    </comment>
    <comment ref="A11" authorId="0">
      <text>
        <r>
          <rPr>
            <sz val="10"/>
            <rFont val="Arial"/>
            <family val="0"/>
            <charset val="1"/>
          </rPr>
          <t xml:space="preserve">cec:
</t>
        </r>
        <r>
          <rPr>
            <sz val="8"/>
            <color rgb="FF000000"/>
            <rFont val="Tahoma"/>
            <family val="2"/>
            <charset val="1"/>
          </rPr>
          <t xml:space="preserve">SEPARAR HORAS Y MINUTOS CON COMA
8,30     12,45</t>
        </r>
      </text>
    </comment>
    <comment ref="A12" authorId="0">
      <text>
        <r>
          <rPr>
            <sz val="10"/>
            <rFont val="Arial"/>
            <family val="0"/>
            <charset val="1"/>
          </rPr>
          <t xml:space="preserve">cec:
</t>
        </r>
        <r>
          <rPr>
            <sz val="8"/>
            <color rgb="FF000000"/>
            <rFont val="Tahoma"/>
            <family val="2"/>
            <charset val="1"/>
          </rPr>
          <t xml:space="preserve">SEPARAR HORAS Y MINUTOS CON COMA
8,30     12,45</t>
        </r>
      </text>
    </comment>
    <comment ref="A13" authorId="0">
      <text>
        <r>
          <rPr>
            <sz val="10"/>
            <rFont val="Arial"/>
            <family val="0"/>
            <charset val="1"/>
          </rPr>
          <t xml:space="preserve">cec:
</t>
        </r>
        <r>
          <rPr>
            <sz val="8"/>
            <color rgb="FF000000"/>
            <rFont val="Tahoma"/>
            <family val="2"/>
            <charset val="1"/>
          </rPr>
          <t xml:space="preserve">SEPARAR HORAS Y MINUTOS CON COMA
8,30     12,45</t>
        </r>
      </text>
    </comment>
    <comment ref="A33" authorId="0">
      <text>
        <r>
          <rPr>
            <sz val="10"/>
            <rFont val="Arial"/>
            <family val="0"/>
            <charset val="1"/>
          </rPr>
          <t xml:space="preserve">cec:
</t>
        </r>
        <r>
          <rPr>
            <sz val="8"/>
            <color rgb="FF000000"/>
            <rFont val="Tahoma"/>
            <family val="2"/>
            <charset val="1"/>
          </rPr>
          <t xml:space="preserve">SE RELLENA AUTOMATICAMENTE AL CUMPLIMENTAR LA AUTOLIQUIDACIÓN</t>
        </r>
      </text>
    </comment>
    <comment ref="D8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12,30     14,45</t>
        </r>
      </text>
    </comment>
    <comment ref="D9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12,30     14,45</t>
        </r>
      </text>
    </comment>
    <comment ref="D10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12,30     14,45</t>
        </r>
      </text>
    </comment>
    <comment ref="D11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12,30     14,45</t>
        </r>
      </text>
    </comment>
    <comment ref="D12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12,30     14,45</t>
        </r>
      </text>
    </comment>
    <comment ref="D13" authorId="0">
      <text>
        <r>
          <rPr>
            <sz val="10"/>
            <rFont val="Arial"/>
            <family val="0"/>
            <charset val="1"/>
          </rPr>
          <t xml:space="preserve">
SEPARAR HORAS Y MINUTOS CON COMA
</t>
        </r>
        <r>
          <rPr>
            <sz val="12"/>
            <color rgb="FF000000"/>
            <rFont val="Tahoma"/>
            <family val="2"/>
            <charset val="1"/>
          </rPr>
          <t xml:space="preserve">12,30     14,45</t>
        </r>
      </text>
    </comment>
    <comment ref="H30" authorId="0">
      <text>
        <r>
          <rPr>
            <sz val="10"/>
            <rFont val="Arial"/>
            <family val="0"/>
            <charset val="1"/>
          </rPr>
          <t xml:space="preserve">NOMBRE DEL DECLARANTE.</t>
        </r>
      </text>
    </comment>
    <comment ref="I24" authorId="0">
      <text>
        <r>
          <rPr>
            <sz val="10"/>
            <rFont val="Arial"/>
            <family val="0"/>
            <charset val="1"/>
          </rPr>
          <t xml:space="preserve">LA FECHA DEBE SER IGUAL O POSTERIOR A LA DE LA ÚLTIMA COMISIÓN
</t>
        </r>
      </text>
    </comment>
    <comment ref="J50" authorId="0">
      <text>
        <r>
          <rPr>
            <sz val="10"/>
            <rFont val="Arial"/>
            <family val="0"/>
            <charset val="1"/>
          </rPr>
          <t xml:space="preserve">NOMBRE DEL DECLARANTE.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12" authorId="0">
      <text>
        <r>
          <rPr>
            <sz val="10"/>
            <rFont val="Arial"/>
            <family val="0"/>
            <charset val="1"/>
          </rPr>
          <t xml:space="preserve">
Cruzo la frontera, como o ceno y me vuelvo.
</t>
        </r>
      </text>
    </comment>
    <comment ref="D14" authorId="0">
      <text>
        <r>
          <rPr>
            <sz val="10"/>
            <rFont val="Arial"/>
            <family val="0"/>
            <charset val="1"/>
          </rPr>
          <t xml:space="preserve">MAXIMO PERMITIDO:   UNA
Sólo para el día de ida, </t>
        </r>
        <r>
          <rPr>
            <sz val="8"/>
            <color rgb="FF000000"/>
            <rFont val="Tahoma"/>
            <family val="2"/>
            <charset val="1"/>
          </rPr>
          <t xml:space="preserve">una vez cruzada la frontera, cenas en extranjero y te quedas en extranjero a dormir.
</t>
        </r>
      </text>
    </comment>
    <comment ref="D16" authorId="0">
      <text>
        <r>
          <rPr>
            <sz val="10"/>
            <rFont val="Arial"/>
            <family val="0"/>
            <charset val="1"/>
          </rPr>
          <t xml:space="preserve">Una vez cruzada la frontera, como y ceno y me vuelvo a casa</t>
        </r>
      </text>
    </comment>
    <comment ref="E22" authorId="0">
      <text>
        <r>
          <rPr>
            <sz val="10"/>
            <rFont val="Arial"/>
            <family val="0"/>
            <charset val="1"/>
          </rPr>
          <t xml:space="preserve">IMPORTE PAGADO POR ALOJAMIENTO Y DESAYUNO  
La factura de hotel (obligatoria) se acompañará cuando se presenten los impresos del desplazamiento.
El importe aquí consignado hará referencia al importe de alojamiento y desayuno iva incluido.</t>
        </r>
      </text>
    </comment>
    <comment ref="E23" authorId="0">
      <text>
        <r>
          <rPr>
            <sz val="10"/>
            <rFont val="Arial"/>
            <family val="0"/>
            <charset val="1"/>
          </rPr>
          <t xml:space="preserve">IMPORTE PAGADO POR ALOJAMIENTO Y DESAYUNO  
La factura/s de hotel (obligatoria) se acompañará cuando se presenten los impresos del desplazamiento.
El importe aquí consignado hará referencia al importe de alojamiento y desayuno iva incluido.</t>
        </r>
      </text>
    </comment>
    <comment ref="E25" authorId="0">
      <text>
        <r>
          <rPr>
            <sz val="10"/>
            <rFont val="Arial"/>
            <family val="0"/>
            <charset val="1"/>
          </rPr>
          <t xml:space="preserve">IMPORTE PAGADO POR ALOJAMIENTO Y DESAYUNO  
La factura/s de hotel (obligatoria) se acompañará cuando se presenten los impresos del desplazamiento.
El importe aquí consignado hará referencia al importe de alojamiento y desayuno iva incluido.</t>
        </r>
      </text>
    </comment>
    <comment ref="G15" authorId="0">
      <text>
        <r>
          <rPr>
            <sz val="10"/>
            <rFont val="Arial"/>
            <family val="0"/>
            <charset val="1"/>
          </rPr>
          <t xml:space="preserve">MAXIMO PERMITIDO:   UNA
</t>
        </r>
        <r>
          <rPr>
            <sz val="8"/>
            <color rgb="FF000000"/>
            <rFont val="Tahoma"/>
            <family val="2"/>
            <charset val="1"/>
          </rPr>
          <t xml:space="preserve">El día de ida, cenas  y te quedas a dormir.
</t>
        </r>
      </text>
    </comment>
    <comment ref="G17" authorId="0">
      <text>
        <r>
          <rPr>
            <sz val="10"/>
            <rFont val="Arial"/>
            <family val="0"/>
            <charset val="1"/>
          </rPr>
          <t xml:space="preserve">Salgo del termino municipal del colegio o de mi casa,  como y ceno y vuelvo.</t>
        </r>
      </text>
    </comment>
    <comment ref="H5" authorId="0">
      <text>
        <r>
          <rPr>
            <sz val="10"/>
            <rFont val="Arial"/>
            <family val="0"/>
            <charset val="1"/>
          </rPr>
          <t xml:space="preserve">IMPORTE ABONADO 
</t>
        </r>
        <r>
          <rPr>
            <b val="true"/>
            <sz val="10"/>
            <color rgb="FF000000"/>
            <rFont val="Tahoma"/>
            <family val="2"/>
            <charset val="1"/>
          </rPr>
          <t xml:space="preserve">La factura o billete se acompañará cuando se presenten los impresos del desplazamiento</t>
        </r>
      </text>
    </comment>
    <comment ref="H6" authorId="0">
      <text>
        <r>
          <rPr>
            <sz val="10"/>
            <rFont val="Arial"/>
            <family val="0"/>
            <charset val="1"/>
          </rPr>
          <t xml:space="preserve">IMPORTE ABONADO
</t>
        </r>
        <r>
          <rPr>
            <b val="true"/>
            <sz val="10"/>
            <color rgb="FF000000"/>
            <rFont val="Tahoma"/>
            <family val="2"/>
            <charset val="1"/>
          </rPr>
          <t xml:space="preserve">La factura o billete se acompañará cuando se presenten los impresos del desplazamiento</t>
        </r>
      </text>
    </comment>
    <comment ref="H7" authorId="0">
      <text>
        <r>
          <rPr>
            <sz val="10"/>
            <rFont val="Arial"/>
            <family val="0"/>
            <charset val="1"/>
          </rPr>
          <t xml:space="preserve">IMPORTE ABONADO
</t>
        </r>
        <r>
          <rPr>
            <b val="true"/>
            <sz val="10"/>
            <color rgb="FF000000"/>
            <rFont val="Tahoma"/>
            <family val="2"/>
            <charset val="1"/>
          </rPr>
          <t xml:space="preserve">La factura o billete se acompañará cuando se presenten los impresos del desplazamiento
</t>
        </r>
      </text>
    </comment>
  </commentList>
</comments>
</file>

<file path=xl/sharedStrings.xml><?xml version="1.0" encoding="utf-8"?>
<sst xmlns="http://schemas.openxmlformats.org/spreadsheetml/2006/main" count="286" uniqueCount="252">
  <si>
    <t xml:space="preserve">Centro:</t>
  </si>
  <si>
    <t xml:space="preserve">IES FRANCISCO DE ORELLANA</t>
  </si>
  <si>
    <t xml:space="preserve">INDEMNIZACIONES POR RAZÓN DEL SERVICIO  (Decreto 42/2025)</t>
  </si>
  <si>
    <t xml:space="preserve">CONSEJERÍA DE EDUCACIÓN, CIENCIA Y FORMACIÓN PROFESIONAL</t>
  </si>
  <si>
    <t xml:space="preserve">LOCALIDAD:</t>
  </si>
  <si>
    <t xml:space="preserve">TRUJILLO</t>
  </si>
  <si>
    <t xml:space="preserve">Apellidos y Nombre:</t>
  </si>
  <si>
    <t xml:space="preserve">Tipo I.R.P.F</t>
  </si>
  <si>
    <t xml:space="preserve">%</t>
  </si>
  <si>
    <t xml:space="preserve">Cuerpo:</t>
  </si>
  <si>
    <t xml:space="preserve">Grupo</t>
  </si>
  <si>
    <t xml:space="preserve">NIF:</t>
  </si>
  <si>
    <t xml:space="preserve">I.- PROPUESTA Y APROBACIÓN</t>
  </si>
  <si>
    <t xml:space="preserve">Programa de gasto al que se imputa la presente liquidación:</t>
  </si>
  <si>
    <t xml:space="preserve">El/La Director/a del Centro, en base a lo establecido en el Decreto 42/2025, de 19 de mayo (D.O.E. nº 101 de 28 de mayo)</t>
  </si>
  <si>
    <r>
      <rPr>
        <sz val="9"/>
        <rFont val="Arial"/>
        <family val="2"/>
        <charset val="1"/>
      </rPr>
      <t xml:space="preserve">propone la realización por el personal </t>
    </r>
    <r>
      <rPr>
        <b val="true"/>
        <sz val="9"/>
        <rFont val="Arial"/>
        <family val="2"/>
        <charset val="1"/>
      </rPr>
      <t xml:space="preserve">funcionario / laboral</t>
    </r>
    <r>
      <rPr>
        <sz val="9"/>
        <rFont val="Arial"/>
        <family val="2"/>
        <charset val="1"/>
      </rPr>
      <t xml:space="preserve"> que figura en el encabezamiento, de las siguientes comisiones y en los términos que igualmente se señalan:</t>
    </r>
  </si>
  <si>
    <t xml:space="preserve">SALIDA</t>
  </si>
  <si>
    <t xml:space="preserve">REGRESO</t>
  </si>
  <si>
    <t xml:space="preserve">L    O    C    A    L    I    D    A    D /es</t>
  </si>
  <si>
    <t xml:space="preserve">Medio</t>
  </si>
  <si>
    <t xml:space="preserve">OBJETO DE LA COMISIÓN</t>
  </si>
  <si>
    <t xml:space="preserve">hora</t>
  </si>
  <si>
    <t xml:space="preserve">día</t>
  </si>
  <si>
    <t xml:space="preserve">mes</t>
  </si>
  <si>
    <t xml:space="preserve">16 horas</t>
  </si>
  <si>
    <t xml:space="preserve">transporte</t>
  </si>
  <si>
    <t xml:space="preserve">ant.</t>
  </si>
  <si>
    <t xml:space="preserve">pos.</t>
  </si>
  <si>
    <t xml:space="preserve">( A la/s que se desplaza)</t>
  </si>
  <si>
    <t xml:space="preserve">a utilizar</t>
  </si>
  <si>
    <t xml:space="preserve">En </t>
  </si>
  <si>
    <t xml:space="preserve">EL/LA DIRECTOR/A DEL CENTRO</t>
  </si>
  <si>
    <t xml:space="preserve">Fdo.:</t>
  </si>
  <si>
    <t xml:space="preserve">MARÍA MONTAÑA HERNÁNDEZ ROSADO</t>
  </si>
  <si>
    <t xml:space="preserve">III.- CERTIFICADO REALIZACIÓN DE LA COMISIÓN:</t>
  </si>
  <si>
    <r>
      <rPr>
        <b val="true"/>
        <sz val="10"/>
        <rFont val="Arial"/>
        <family val="2"/>
        <charset val="1"/>
      </rPr>
      <t xml:space="preserve">El/La Director/a del Centro,</t>
    </r>
    <r>
      <rPr>
        <sz val="10"/>
        <rFont val="Arial"/>
        <family val="2"/>
        <charset val="1"/>
      </rPr>
      <t xml:space="preserve"> CERTIFICA que las comisiones a que hace referencia la declaración del interesado (al dorso) y que fueron propuestas por esta dirección </t>
    </r>
  </si>
  <si>
    <t xml:space="preserve">han sido realizadas de conformidad con la orden de servicio y se ajustan a la legislación en vigor.</t>
  </si>
  <si>
    <t xml:space="preserve">(fecha, firma y sello)</t>
  </si>
  <si>
    <t xml:space="preserve">II.- DECLARACIÓN DEL INTERESADO</t>
  </si>
  <si>
    <r>
      <rPr>
        <sz val="10"/>
        <rFont val="Arial"/>
        <family val="0"/>
        <charset val="1"/>
      </rPr>
      <t xml:space="preserve">Declaro haber realizado los desplazamientos de conformidad con la orden de servicio, habiéndo utilizado  </t>
    </r>
    <r>
      <rPr>
        <i val="true"/>
        <sz val="10"/>
        <rFont val="Arial"/>
        <family val="2"/>
        <charset val="1"/>
      </rPr>
      <t xml:space="preserve">(consignar medio; y en su caso matrícula)</t>
    </r>
  </si>
  <si>
    <t xml:space="preserve">I T I N E R A R I O     R E A L I Z A D O</t>
  </si>
  <si>
    <t xml:space="preserve">Nº.  Kms.</t>
  </si>
  <si>
    <t xml:space="preserve">Nº de ½ manut.</t>
  </si>
  <si>
    <t xml:space="preserve">Nº de aloj.</t>
  </si>
  <si>
    <t xml:space="preserve">En</t>
  </si>
  <si>
    <t xml:space="preserve">a</t>
  </si>
  <si>
    <t xml:space="preserve">EL COMISIONADO</t>
  </si>
  <si>
    <t xml:space="preserve">(firma)</t>
  </si>
  <si>
    <t xml:space="preserve">IV - LIQUIDACIÓN DE LA COMISIÓN.</t>
  </si>
  <si>
    <t xml:space="preserve">Porcentaje I.R.P.F. del declarante.........................................:</t>
  </si>
  <si>
    <t xml:space="preserve">C   O   N   C   E   P   T   O</t>
  </si>
  <si>
    <t xml:space="preserve">A</t>
  </si>
  <si>
    <t xml:space="preserve">B</t>
  </si>
  <si>
    <t xml:space="preserve">C </t>
  </si>
  <si>
    <t xml:space="preserve">D</t>
  </si>
  <si>
    <t xml:space="preserve">E</t>
  </si>
  <si>
    <t xml:space="preserve">F</t>
  </si>
  <si>
    <t xml:space="preserve">Núm.</t>
  </si>
  <si>
    <t xml:space="preserve">Importe / u</t>
  </si>
  <si>
    <r>
      <rPr>
        <sz val="10"/>
        <rFont val="Arial"/>
        <family val="0"/>
        <charset val="1"/>
      </rPr>
      <t xml:space="preserve">Total          </t>
    </r>
    <r>
      <rPr>
        <sz val="6"/>
        <rFont val="Arial"/>
        <family val="2"/>
        <charset val="1"/>
      </rPr>
      <t xml:space="preserve">(AxB)</t>
    </r>
  </si>
  <si>
    <t xml:space="preserve">Base     I.R.P.F.</t>
  </si>
  <si>
    <t xml:space="preserve">I.R.P.F.  retenido</t>
  </si>
  <si>
    <r>
      <rPr>
        <sz val="10"/>
        <rFont val="Arial"/>
        <family val="0"/>
        <charset val="1"/>
      </rPr>
      <t xml:space="preserve">   Liquido        </t>
    </r>
    <r>
      <rPr>
        <sz val="6"/>
        <rFont val="Arial"/>
        <family val="2"/>
        <charset val="1"/>
      </rPr>
      <t xml:space="preserve">  (C-E)</t>
    </r>
  </si>
  <si>
    <t xml:space="preserve">MANUTENCIÓN</t>
  </si>
  <si>
    <t xml:space="preserve">ALOJAMIENTO</t>
  </si>
  <si>
    <t xml:space="preserve">LOCOMOCIÓN</t>
  </si>
  <si>
    <t xml:space="preserve">V. propio (kms.)</t>
  </si>
  <si>
    <t xml:space="preserve">Trans. público</t>
  </si>
  <si>
    <t xml:space="preserve">Otros</t>
  </si>
  <si>
    <t xml:space="preserve">T  O  T  A  L  E  S</t>
  </si>
  <si>
    <t xml:space="preserve">Páguese</t>
  </si>
  <si>
    <t xml:space="preserve">Recibi:</t>
  </si>
  <si>
    <t xml:space="preserve">Total a abonar......</t>
  </si>
  <si>
    <t xml:space="preserve">EL/LA DIRECTOR/A</t>
  </si>
  <si>
    <t xml:space="preserve">Programa de gasto:</t>
  </si>
  <si>
    <r>
      <rPr>
        <b val="true"/>
        <sz val="12"/>
        <color rgb="FF000000"/>
        <rFont val="Times New Roman"/>
        <family val="1"/>
        <charset val="1"/>
      </rPr>
      <t xml:space="preserve">Calcula INDEMNIZACIONES POR RAZÓN DEL SERVICIO   </t>
    </r>
    <r>
      <rPr>
        <b val="true"/>
        <sz val="12"/>
        <color rgb="FFFFFF00"/>
        <rFont val="Times New Roman"/>
        <family val="1"/>
        <charset val="1"/>
      </rPr>
      <t xml:space="preserve">desde 29 Mayo 2025                                                                                                Decreto 42/2025 de 19 de mayo (DOE nº 101 de 28mayo)</t>
    </r>
  </si>
  <si>
    <t xml:space="preserve">Declarante:</t>
  </si>
  <si>
    <t xml:space="preserve">Fecha:</t>
  </si>
  <si>
    <t xml:space="preserve">NÚM.</t>
  </si>
  <si>
    <t xml:space="preserve">INTEGRO</t>
  </si>
  <si>
    <t xml:space="preserve">Exento de Irpf</t>
  </si>
  <si>
    <t xml:space="preserve">Sujeto a Irpf</t>
  </si>
  <si>
    <t xml:space="preserve">Tipo IRPF</t>
  </si>
  <si>
    <t xml:space="preserve">RETENCIÓN</t>
  </si>
  <si>
    <t xml:space="preserve">A PAGAR</t>
  </si>
  <si>
    <t xml:space="preserve">Kilómetros</t>
  </si>
  <si>
    <t xml:space="preserve">Transporte público</t>
  </si>
  <si>
    <t xml:space="preserve">Peaje</t>
  </si>
  <si>
    <t xml:space="preserve">Aparcamiento</t>
  </si>
  <si>
    <t xml:space="preserve">Subtotales Locomoción    </t>
  </si>
  <si>
    <t xml:space="preserve">Extranjero</t>
  </si>
  <si>
    <t xml:space="preserve">ESPAÑA</t>
  </si>
  <si>
    <t xml:space="preserve">Nº ½ manut.   SIN pernocta en Extranjero</t>
  </si>
  <si>
    <t xml:space="preserve">Nº ½ manut.   SIN  pernocta en ESPAÑA</t>
  </si>
  <si>
    <t xml:space="preserve">Nº ½ manut. CON pernocta en Extranjero</t>
  </si>
  <si>
    <t xml:space="preserve">Nº ½ manut.   CON pernocta  en ESPAÑA</t>
  </si>
  <si>
    <t xml:space="preserve">Nº manut.Compl. SIN pernocta Extranjero</t>
  </si>
  <si>
    <t xml:space="preserve">Nº manut.completa SIN pernocta ESPAÑA</t>
  </si>
  <si>
    <t xml:space="preserve">Nº manut.Compl. CON pernocta Extranjero</t>
  </si>
  <si>
    <t xml:space="preserve">Nº manut.Compl. CON pernocta ESPAÑA</t>
  </si>
  <si>
    <t xml:space="preserve">Subtotales 1/2 manut.</t>
  </si>
  <si>
    <t xml:space="preserve">DIAS</t>
  </si>
  <si>
    <t xml:space="preserve">JUSTIFICADO</t>
  </si>
  <si>
    <t xml:space="preserve">EN ESPAÑA</t>
  </si>
  <si>
    <t xml:space="preserve">OTRO PAIS A ELEGIR AQUÍ</t>
  </si>
  <si>
    <t xml:space="preserve">Subtotales Alojamiento</t>
  </si>
  <si>
    <t xml:space="preserve">Sujeto a IRPF</t>
  </si>
  <si>
    <t xml:space="preserve">RETENCION</t>
  </si>
  <si>
    <t xml:space="preserve">ALOJAMIENTO Y DESAYUNO GRUPO 1 A.G.E   Resol.2ene2008 S.E.H.P. (BOE 3enero)</t>
  </si>
  <si>
    <t xml:space="preserve">ALEMANIA</t>
  </si>
  <si>
    <t xml:space="preserve">ANDORRA</t>
  </si>
  <si>
    <t xml:space="preserve">ANGOLA</t>
  </si>
  <si>
    <t xml:space="preserve">ARABIA SAUDITA</t>
  </si>
  <si>
    <t xml:space="preserve">ARGELIA</t>
  </si>
  <si>
    <t xml:space="preserve">ARGENTINA</t>
  </si>
  <si>
    <t xml:space="preserve">AUSTRALIA</t>
  </si>
  <si>
    <t xml:space="preserve">AUSTRIA</t>
  </si>
  <si>
    <t xml:space="preserve">BÉLGICA</t>
  </si>
  <si>
    <t xml:space="preserve">BOLIVIA</t>
  </si>
  <si>
    <t xml:space="preserve">BOSNIA-HERZEGOVINA</t>
  </si>
  <si>
    <t xml:space="preserve">BRASIL</t>
  </si>
  <si>
    <t xml:space="preserve">BULGARIA</t>
  </si>
  <si>
    <t xml:space="preserve">CAMERÚN</t>
  </si>
  <si>
    <t xml:space="preserve">CANADÁ</t>
  </si>
  <si>
    <t xml:space="preserve">CHILE</t>
  </si>
  <si>
    <t xml:space="preserve">CHINA</t>
  </si>
  <si>
    <t xml:space="preserve">COLOMBIA</t>
  </si>
  <si>
    <t xml:space="preserve">COREA</t>
  </si>
  <si>
    <t xml:space="preserve">COSTA DE MARFIL</t>
  </si>
  <si>
    <t xml:space="preserve">COSTA RICA</t>
  </si>
  <si>
    <t xml:space="preserve">CROACIA</t>
  </si>
  <si>
    <t xml:space="preserve">CUBA</t>
  </si>
  <si>
    <t xml:space="preserve">DINAMARCA</t>
  </si>
  <si>
    <t xml:space="preserve">R. DOMINICANA</t>
  </si>
  <si>
    <t xml:space="preserve">ECUADOR</t>
  </si>
  <si>
    <t xml:space="preserve">EGIPTO</t>
  </si>
  <si>
    <t xml:space="preserve">EL SALVADOR</t>
  </si>
  <si>
    <t xml:space="preserve">EMIRATOS ÁRABES UNIDOS</t>
  </si>
  <si>
    <t xml:space="preserve">ESLOVAQUIA</t>
  </si>
  <si>
    <t xml:space="preserve">ESTADOS UNIDOS</t>
  </si>
  <si>
    <t xml:space="preserve">ETIOPÍA</t>
  </si>
  <si>
    <t xml:space="preserve">FILIPINAS</t>
  </si>
  <si>
    <t xml:space="preserve">FINLANDIA</t>
  </si>
  <si>
    <t xml:space="preserve">FRANCIA</t>
  </si>
  <si>
    <t xml:space="preserve">GABÓN</t>
  </si>
  <si>
    <t xml:space="preserve">GHANA</t>
  </si>
  <si>
    <t xml:space="preserve">GRECIA</t>
  </si>
  <si>
    <t xml:space="preserve">GUATEMALA</t>
  </si>
  <si>
    <t xml:space="preserve">GUINEA ECUATORIAL</t>
  </si>
  <si>
    <t xml:space="preserve">HAITÍ</t>
  </si>
  <si>
    <t xml:space="preserve">HONDURAS</t>
  </si>
  <si>
    <t xml:space="preserve">HONG KONG</t>
  </si>
  <si>
    <t xml:space="preserve">HUNGRÍA</t>
  </si>
  <si>
    <t xml:space="preserve">INDIA</t>
  </si>
  <si>
    <t xml:space="preserve">INDONESIA</t>
  </si>
  <si>
    <t xml:space="preserve">IRAK</t>
  </si>
  <si>
    <t xml:space="preserve">IRÁN</t>
  </si>
  <si>
    <t xml:space="preserve">IRLANDA</t>
  </si>
  <si>
    <t xml:space="preserve">ISRAEL</t>
  </si>
  <si>
    <t xml:space="preserve">ITALIA</t>
  </si>
  <si>
    <t xml:space="preserve">JAMAICA</t>
  </si>
  <si>
    <t xml:space="preserve">JAPÓN</t>
  </si>
  <si>
    <t xml:space="preserve">JORDANIA</t>
  </si>
  <si>
    <t xml:space="preserve">KENIA</t>
  </si>
  <si>
    <t xml:space="preserve">KUWAIT</t>
  </si>
  <si>
    <t xml:space="preserve">LÍBANO</t>
  </si>
  <si>
    <t xml:space="preserve">LIBIA</t>
  </si>
  <si>
    <t xml:space="preserve">LUXEMBURGO</t>
  </si>
  <si>
    <t xml:space="preserve">MALASIA</t>
  </si>
  <si>
    <t xml:space="preserve">MALTA</t>
  </si>
  <si>
    <t xml:space="preserve">MARRUECOS</t>
  </si>
  <si>
    <t xml:space="preserve">MAURITANIA</t>
  </si>
  <si>
    <t xml:space="preserve">MÉJICO</t>
  </si>
  <si>
    <t xml:space="preserve">MOZAMBIQUE</t>
  </si>
  <si>
    <t xml:space="preserve">NICARAGUA</t>
  </si>
  <si>
    <t xml:space="preserve">NIGERIA</t>
  </si>
  <si>
    <t xml:space="preserve">NORUEGA</t>
  </si>
  <si>
    <t xml:space="preserve">NUEVA ZELANDA</t>
  </si>
  <si>
    <t xml:space="preserve">PAÍSES BAJOS</t>
  </si>
  <si>
    <t xml:space="preserve">PAKISTÁN</t>
  </si>
  <si>
    <t xml:space="preserve">PANAMÁ</t>
  </si>
  <si>
    <t xml:space="preserve">PARAGUAY</t>
  </si>
  <si>
    <t xml:space="preserve">PERÚ</t>
  </si>
  <si>
    <t xml:space="preserve">POLONIA</t>
  </si>
  <si>
    <t xml:space="preserve">PORTUGAL</t>
  </si>
  <si>
    <t xml:space="preserve">REINO UNIDO</t>
  </si>
  <si>
    <t xml:space="preserve">REPÚBLICA CHECA</t>
  </si>
  <si>
    <t xml:space="preserve">RUMANIA</t>
  </si>
  <si>
    <t xml:space="preserve">RUSIA</t>
  </si>
  <si>
    <t xml:space="preserve">SENEGAL</t>
  </si>
  <si>
    <t xml:space="preserve">SINGAPUR</t>
  </si>
  <si>
    <t xml:space="preserve">SIRIA</t>
  </si>
  <si>
    <t xml:space="preserve">SUDÁFRICA</t>
  </si>
  <si>
    <t xml:space="preserve">SUECIA</t>
  </si>
  <si>
    <t xml:space="preserve">SUIZA</t>
  </si>
  <si>
    <t xml:space="preserve">TAILANDIA</t>
  </si>
  <si>
    <t xml:space="preserve">TAIWÁN</t>
  </si>
  <si>
    <t xml:space="preserve">TANZANIA</t>
  </si>
  <si>
    <t xml:space="preserve">TÚNEZ</t>
  </si>
  <si>
    <t xml:space="preserve">TURQUÍA</t>
  </si>
  <si>
    <t xml:space="preserve">URUGUAY</t>
  </si>
  <si>
    <t xml:space="preserve">VENEZUELA</t>
  </si>
  <si>
    <t xml:space="preserve">YEMEN</t>
  </si>
  <si>
    <t xml:space="preserve">SERBIA Y MONTENEGRO</t>
  </si>
  <si>
    <t xml:space="preserve">ZAIRE/CONGO</t>
  </si>
  <si>
    <t xml:space="preserve">ZIMBAWE</t>
  </si>
  <si>
    <t xml:space="preserve">RESTO DEL MUNDO</t>
  </si>
  <si>
    <t xml:space="preserve">INSTRUCCIONES CUMPLIMENTACIÓN IMPRESO INDEMNIZACIONES POR RAZON DEL SERVICIO (A PAGAR POR LOS CENTROS EDUCATIVOS) </t>
  </si>
  <si>
    <t xml:space="preserve">Este libro excel contiene tres hojas para introducir datos (anverso, reverso y autoliquidación) y ésta de instrucciones.</t>
  </si>
  <si>
    <t xml:space="preserve">ANVERSO  (parte horizontal)</t>
  </si>
  <si>
    <t xml:space="preserve">I:  PROPUESTA Y APROBACIÓN</t>
  </si>
  <si>
    <r>
      <rPr>
        <b val="true"/>
        <sz val="10"/>
        <rFont val="Arial"/>
        <family val="2"/>
        <charset val="1"/>
      </rPr>
      <t xml:space="preserve">Centro</t>
    </r>
    <r>
      <rPr>
        <sz val="10"/>
        <rFont val="Arial"/>
        <family val="2"/>
        <charset val="1"/>
      </rPr>
      <t xml:space="preserve">: Denominación del Centro</t>
    </r>
  </si>
  <si>
    <r>
      <rPr>
        <b val="true"/>
        <sz val="10"/>
        <rFont val="Arial"/>
        <family val="2"/>
        <charset val="1"/>
      </rPr>
      <t xml:space="preserve">Localidad</t>
    </r>
    <r>
      <rPr>
        <sz val="10"/>
        <rFont val="Arial"/>
        <family val="2"/>
        <charset val="1"/>
      </rPr>
      <t xml:space="preserve">: Localidad del Centro</t>
    </r>
  </si>
  <si>
    <r>
      <rPr>
        <b val="true"/>
        <sz val="10"/>
        <rFont val="Arial"/>
        <family val="2"/>
        <charset val="1"/>
      </rPr>
      <t xml:space="preserve">Nombre y apellidos</t>
    </r>
    <r>
      <rPr>
        <sz val="10"/>
        <rFont val="Arial"/>
        <family val="2"/>
        <charset val="1"/>
      </rPr>
      <t xml:space="preserve">: Del Comisionado</t>
    </r>
  </si>
  <si>
    <t xml:space="preserve">Tipo I.R.P.F.(Obligatorio): Porcentaje que, a efectos de retención del I.R.P.F., figura en su última nómina                 </t>
  </si>
  <si>
    <r>
      <rPr>
        <b val="true"/>
        <sz val="10"/>
        <rFont val="Arial"/>
        <family val="2"/>
        <charset val="1"/>
      </rPr>
      <t xml:space="preserve">Cuerpo</t>
    </r>
    <r>
      <rPr>
        <sz val="10"/>
        <rFont val="Arial"/>
        <family val="2"/>
        <charset val="1"/>
      </rPr>
      <t xml:space="preserve">: Maestro/Profesor/ vigilante, informático, ordenanza...</t>
    </r>
  </si>
  <si>
    <r>
      <rPr>
        <b val="true"/>
        <sz val="10"/>
        <rFont val="Arial"/>
        <family val="2"/>
        <charset val="1"/>
      </rPr>
      <t xml:space="preserve">Grupo</t>
    </r>
    <r>
      <rPr>
        <sz val="10"/>
        <rFont val="Arial"/>
        <family val="2"/>
        <charset val="1"/>
      </rPr>
      <t xml:space="preserve">:  </t>
    </r>
    <r>
      <rPr>
        <b val="true"/>
        <sz val="10"/>
        <rFont val="Arial"/>
        <family val="2"/>
        <charset val="1"/>
      </rPr>
      <t xml:space="preserve">F</t>
    </r>
    <r>
      <rPr>
        <sz val="10"/>
        <rFont val="Arial"/>
        <family val="2"/>
        <charset val="1"/>
      </rPr>
      <t xml:space="preserve">-Funcionario; </t>
    </r>
    <r>
      <rPr>
        <b val="true"/>
        <sz val="10"/>
        <rFont val="Arial"/>
        <family val="2"/>
        <charset val="1"/>
      </rPr>
      <t xml:space="preserve"> L</t>
    </r>
    <r>
      <rPr>
        <sz val="10"/>
        <rFont val="Arial"/>
        <family val="2"/>
        <charset val="1"/>
      </rPr>
      <t xml:space="preserve">-Laboral</t>
    </r>
  </si>
  <si>
    <t xml:space="preserve">   </t>
  </si>
  <si>
    <r>
      <rPr>
        <b val="true"/>
        <sz val="10"/>
        <rFont val="Arial"/>
        <family val="2"/>
        <charset val="1"/>
      </rPr>
      <t xml:space="preserve">NIF</t>
    </r>
    <r>
      <rPr>
        <sz val="10"/>
        <rFont val="Arial"/>
        <family val="2"/>
        <charset val="1"/>
      </rPr>
      <t xml:space="preserve">: Escribir los 8 dígitos y la letra</t>
    </r>
  </si>
  <si>
    <r>
      <rPr>
        <b val="true"/>
        <sz val="10"/>
        <rFont val="Arial"/>
        <family val="2"/>
        <charset val="1"/>
      </rPr>
      <t xml:space="preserve">Programas de gasto</t>
    </r>
    <r>
      <rPr>
        <sz val="10"/>
        <rFont val="Arial"/>
        <family val="2"/>
        <charset val="1"/>
      </rPr>
      <t xml:space="preserve">: Consignar el programa correspondiente</t>
    </r>
  </si>
  <si>
    <r>
      <rPr>
        <b val="true"/>
        <sz val="9"/>
        <rFont val="Arial"/>
        <family val="2"/>
        <charset val="1"/>
      </rPr>
      <t xml:space="preserve">                             221-B</t>
    </r>
    <r>
      <rPr>
        <sz val="9"/>
        <rFont val="Arial"/>
        <family val="2"/>
        <charset val="1"/>
      </rPr>
      <t xml:space="preserve">: C.P.R.     </t>
    </r>
  </si>
  <si>
    <r>
      <rPr>
        <sz val="9"/>
        <rFont val="Arial"/>
        <family val="2"/>
        <charset val="1"/>
      </rPr>
      <t xml:space="preserve">                             </t>
    </r>
    <r>
      <rPr>
        <b val="true"/>
        <sz val="9"/>
        <rFont val="Arial"/>
        <family val="2"/>
        <charset val="1"/>
      </rPr>
      <t xml:space="preserve">222-A</t>
    </r>
    <r>
      <rPr>
        <sz val="9"/>
        <rFont val="Arial"/>
        <family val="2"/>
        <charset val="1"/>
      </rPr>
      <t xml:space="preserve">: COL.PUBLICOS, CRAS</t>
    </r>
  </si>
  <si>
    <r>
      <rPr>
        <sz val="9"/>
        <rFont val="Arial"/>
        <family val="2"/>
        <charset val="1"/>
      </rPr>
      <t xml:space="preserve">                           </t>
    </r>
    <r>
      <rPr>
        <b val="true"/>
        <sz val="9"/>
        <rFont val="Arial"/>
        <family val="2"/>
        <charset val="1"/>
      </rPr>
      <t xml:space="preserve">  222-B</t>
    </r>
    <r>
      <rPr>
        <sz val="9"/>
        <rFont val="Arial"/>
        <family val="2"/>
        <charset val="1"/>
      </rPr>
      <t xml:space="preserve">: IES, IESOS</t>
    </r>
  </si>
  <si>
    <r>
      <rPr>
        <b val="true"/>
        <sz val="9"/>
        <rFont val="Arial"/>
        <family val="2"/>
        <charset val="1"/>
      </rPr>
      <t xml:space="preserve">                             222-C</t>
    </r>
    <r>
      <rPr>
        <sz val="9"/>
        <rFont val="Arial"/>
        <family val="2"/>
        <charset val="1"/>
      </rPr>
      <t xml:space="preserve">: E O I, CONSERVATORIO, EOEP</t>
    </r>
  </si>
  <si>
    <r>
      <rPr>
        <sz val="9"/>
        <rFont val="Arial"/>
        <family val="2"/>
        <charset val="1"/>
      </rPr>
      <t xml:space="preserve">                            </t>
    </r>
    <r>
      <rPr>
        <b val="true"/>
        <sz val="9"/>
        <rFont val="Arial"/>
        <family val="2"/>
        <charset val="1"/>
      </rPr>
      <t xml:space="preserve"> 222-E</t>
    </r>
    <r>
      <rPr>
        <sz val="9"/>
        <rFont val="Arial"/>
        <family val="2"/>
        <charset val="1"/>
      </rPr>
      <t xml:space="preserve">: ADULTOS</t>
    </r>
  </si>
  <si>
    <r>
      <rPr>
        <b val="true"/>
        <sz val="10"/>
        <rFont val="Arial"/>
        <family val="2"/>
        <charset val="1"/>
      </rPr>
      <t xml:space="preserve">SALIDA</t>
    </r>
    <r>
      <rPr>
        <sz val="10"/>
        <rFont val="Arial"/>
        <family val="2"/>
        <charset val="1"/>
      </rPr>
      <t xml:space="preserve">: Hora (hh,mm), día y mes de inicio de la comisión</t>
    </r>
  </si>
  <si>
    <r>
      <rPr>
        <b val="true"/>
        <sz val="10"/>
        <rFont val="Arial"/>
        <family val="2"/>
        <charset val="1"/>
      </rPr>
      <t xml:space="preserve">REGRESO</t>
    </r>
    <r>
      <rPr>
        <sz val="10"/>
        <rFont val="Arial"/>
        <family val="2"/>
        <charset val="1"/>
      </rPr>
      <t xml:space="preserve">: En estas celdas figurarán los datos relativos al FIN DE LA COMISIÓN, consignando en una “X” </t>
    </r>
  </si>
  <si>
    <r>
      <rPr>
        <sz val="10"/>
        <rFont val="Arial"/>
        <family val="2"/>
        <charset val="1"/>
      </rPr>
      <t xml:space="preserve">(según se estime a las</t>
    </r>
    <r>
      <rPr>
        <b val="true"/>
        <sz val="10"/>
        <rFont val="Arial"/>
        <family val="2"/>
        <charset val="1"/>
      </rPr>
      <t xml:space="preserve"> 16,00h , o a las 14,00h si hubo alojamiento previo</t>
    </r>
    <r>
      <rPr>
        <sz val="10"/>
        <rFont val="Arial"/>
        <family val="0"/>
        <charset val="1"/>
      </rPr>
      <t xml:space="preserve">)</t>
    </r>
  </si>
  <si>
    <t xml:space="preserve"> </t>
  </si>
  <si>
    <r>
      <rPr>
        <b val="true"/>
        <sz val="10"/>
        <rFont val="Arial"/>
        <family val="2"/>
        <charset val="1"/>
      </rPr>
      <t xml:space="preserve">LOCALIDAD</t>
    </r>
    <r>
      <rPr>
        <sz val="10"/>
        <rFont val="Arial"/>
        <family val="2"/>
        <charset val="1"/>
      </rPr>
      <t xml:space="preserve">: Localidad o localidades a donde se va a realizar la comisión</t>
    </r>
  </si>
  <si>
    <r>
      <rPr>
        <b val="true"/>
        <sz val="10"/>
        <rFont val="Arial"/>
        <family val="2"/>
        <charset val="1"/>
      </rPr>
      <t xml:space="preserve">Medio transporte a utilizar</t>
    </r>
    <r>
      <rPr>
        <sz val="10"/>
        <rFont val="Arial"/>
        <family val="2"/>
        <charset val="1"/>
      </rPr>
      <t xml:space="preserve">: Consignar vehículo propio o el medio de transporte que va a utilizarse</t>
    </r>
  </si>
  <si>
    <r>
      <rPr>
        <b val="true"/>
        <sz val="10"/>
        <rFont val="Arial"/>
        <family val="2"/>
        <charset val="1"/>
      </rPr>
      <t xml:space="preserve">OBJETO DE LA COMISIÓN</t>
    </r>
    <r>
      <rPr>
        <sz val="10"/>
        <rFont val="Arial"/>
        <family val="2"/>
        <charset val="1"/>
      </rPr>
      <t xml:space="preserve">: Consignar de forma escueta el objeto del viaje o comisión</t>
    </r>
  </si>
  <si>
    <r>
      <rPr>
        <b val="true"/>
        <sz val="10"/>
        <rFont val="Arial"/>
        <family val="2"/>
        <charset val="1"/>
      </rPr>
      <t xml:space="preserve">FECHA Y FIRMA DEL DIRECTOR DEL CENTRO:</t>
    </r>
    <r>
      <rPr>
        <sz val="10"/>
        <rFont val="Arial"/>
        <family val="2"/>
        <charset val="1"/>
      </rPr>
      <t xml:space="preserve"> </t>
    </r>
    <r>
      <rPr>
        <sz val="10"/>
        <color rgb="FFFF0000"/>
        <rFont val="Arial"/>
        <family val="2"/>
        <charset val="1"/>
      </rPr>
      <t xml:space="preserve">La fecha de la propuesta debe ser igual o anterior a la del primer viaje propuesto</t>
    </r>
    <r>
      <rPr>
        <sz val="10"/>
        <rFont val="Arial"/>
        <family val="2"/>
        <charset val="1"/>
      </rPr>
      <t xml:space="preserve">.</t>
    </r>
  </si>
  <si>
    <t xml:space="preserve">III:  CERTIFICADO REALIZACIÓN DE LA COMISIÓN</t>
  </si>
  <si>
    <t xml:space="preserve">Nombre y firma de la autoridad que en su día propuso la comisión y ahora certifica que fue realizada(Director/a del Centro). </t>
  </si>
  <si>
    <t xml:space="preserve">La fecha de la certificación debe ser igual o posterior a la del último viaje de cada impreso</t>
  </si>
  <si>
    <t xml:space="preserve">REVERSO  (parte vertical)</t>
  </si>
  <si>
    <t xml:space="preserve">II: DECLARACIÓN DEL INTERESADO</t>
  </si>
  <si>
    <r>
      <rPr>
        <sz val="10"/>
        <rFont val="Arial"/>
        <family val="0"/>
        <charset val="1"/>
      </rPr>
      <t xml:space="preserve">El medio de locomoción utilizado coincidirá con el que figura en el apartado “I-   PROPUESTA”.</t>
    </r>
    <r>
      <rPr>
        <b val="true"/>
        <sz val="10"/>
        <rFont val="Arial"/>
        <family val="2"/>
        <charset val="1"/>
      </rPr>
      <t xml:space="preserve"> La </t>
    </r>
    <r>
      <rPr>
        <b val="true"/>
        <sz val="10"/>
        <color rgb="FFFF0000"/>
        <rFont val="Arial"/>
        <family val="2"/>
        <charset val="1"/>
      </rPr>
      <t xml:space="preserve">matrícula del vehículo</t>
    </r>
    <r>
      <rPr>
        <sz val="10"/>
        <rFont val="Arial"/>
        <family val="2"/>
        <charset val="1"/>
      </rPr>
      <t xml:space="preserve"> debe consignarse obligatoriamente</t>
    </r>
  </si>
  <si>
    <r>
      <rPr>
        <b val="true"/>
        <sz val="10"/>
        <rFont val="Arial"/>
        <family val="2"/>
        <charset val="1"/>
      </rPr>
      <t xml:space="preserve">REGRESO</t>
    </r>
    <r>
      <rPr>
        <sz val="10"/>
        <rFont val="Arial"/>
        <family val="2"/>
        <charset val="1"/>
      </rPr>
      <t xml:space="preserve">: Hora (hh,mm), día y mes de regreso a la localidad de partida</t>
    </r>
  </si>
  <si>
    <r>
      <rPr>
        <b val="true"/>
        <sz val="10"/>
        <rFont val="Arial"/>
        <family val="2"/>
        <charset val="1"/>
      </rPr>
      <t xml:space="preserve">ITINERARIO REALIZADO</t>
    </r>
    <r>
      <rPr>
        <sz val="10"/>
        <rFont val="Arial"/>
        <family val="2"/>
        <charset val="1"/>
      </rPr>
      <t xml:space="preserve">: Localidad de origen-Localidad/localidades a donde se realiza la comisión-Localidad de origen</t>
    </r>
  </si>
  <si>
    <r>
      <rPr>
        <b val="true"/>
        <sz val="10"/>
        <rFont val="Arial"/>
        <family val="2"/>
        <charset val="1"/>
      </rPr>
      <t xml:space="preserve">Nº Kms</t>
    </r>
    <r>
      <rPr>
        <sz val="10"/>
        <rFont val="Arial"/>
        <family val="2"/>
        <charset val="1"/>
      </rPr>
      <t xml:space="preserve">.: Número de kilómetros de cada itinerario realizado</t>
    </r>
    <r>
      <rPr>
        <b val="true"/>
        <sz val="10"/>
        <rFont val="Arial"/>
        <family val="2"/>
        <charset val="1"/>
      </rPr>
      <t xml:space="preserve">. No use decimales, redondee al alza.</t>
    </r>
  </si>
  <si>
    <r>
      <rPr>
        <b val="true"/>
        <sz val="10"/>
        <rFont val="Arial"/>
        <family val="2"/>
        <charset val="1"/>
      </rPr>
      <t xml:space="preserve">EL COMISIONADO</t>
    </r>
    <r>
      <rPr>
        <sz val="10"/>
        <rFont val="Arial"/>
        <family val="2"/>
        <charset val="1"/>
      </rPr>
      <t xml:space="preserve">: Nombre y firma del declarante. La localidad de la declaración será la del Centro de destino. (o domicilio si es más cercano al lugar desplazado en comisión)</t>
    </r>
  </si>
  <si>
    <t xml:space="preserve">La fecha de la declaración debe ser igual o posterior a la del último viaje de cada impreso</t>
  </si>
  <si>
    <t xml:space="preserve">IV: LIQUIDACIÓN DE LA COMISIÓN</t>
  </si>
  <si>
    <r>
      <rPr>
        <sz val="10"/>
        <rFont val="Arial"/>
        <family val="2"/>
        <charset val="1"/>
      </rPr>
      <t xml:space="preserve">A diligenciar por el órgano que efectúa el pago: </t>
    </r>
    <r>
      <rPr>
        <b val="true"/>
        <sz val="10"/>
        <color rgb="FFFF0000"/>
        <rFont val="Arial"/>
        <family val="2"/>
        <charset val="1"/>
      </rPr>
      <t xml:space="preserve">El Director del centro es el responsable </t>
    </r>
    <r>
      <rPr>
        <sz val="10"/>
        <rFont val="Arial"/>
        <family val="2"/>
        <charset val="1"/>
      </rPr>
      <t xml:space="preserve">de comprobar que los datos de kilometraje y dietas son los correctos.</t>
    </r>
  </si>
  <si>
    <t xml:space="preserve">En el caso que el interesado realice la Autoliquidación, los cálculos de ésta, se trasladan automáticamente a la Liquidación, pero eso no implica que sea correcta.</t>
  </si>
  <si>
    <t xml:space="preserve">AUTOLIQUIDACION</t>
  </si>
  <si>
    <t xml:space="preserve">Únicamente a efectos de información del interesado.</t>
  </si>
  <si>
    <t xml:space="preserve">El Director del centro es el responsable de liquidar una vez comprobado que </t>
  </si>
  <si>
    <t xml:space="preserve">los datos de kilometraje, dietas, alojamiento... son justificados.</t>
  </si>
  <si>
    <t xml:space="preserve">y debe realizar la liquidación correctamente.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</si>
</sst>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;[RED]#,##0;#"/>
    <numFmt numFmtId="166" formatCode="0.00"/>
    <numFmt numFmtId="167" formatCode="0"/>
    <numFmt numFmtId="168" formatCode="@"/>
    <numFmt numFmtId="169" formatCode="&quot;a &quot;d&quot; de &quot;mmmm&quot; de &quot;yyyy"/>
    <numFmt numFmtId="170" formatCode="d&quot; de &quot;mmmm&quot; de &quot;yyyy"/>
    <numFmt numFmtId="171" formatCode="#,##0.00;[RED]#,##0.00;#"/>
    <numFmt numFmtId="172" formatCode="0;[RED]0"/>
    <numFmt numFmtId="173" formatCode="#,##0.00&quot; €&quot;;[RED]#,##0.00&quot; €&quot;;#"/>
    <numFmt numFmtId="174" formatCode="General"/>
    <numFmt numFmtId="175" formatCode="#,##0.00&quot; €&quot;"/>
    <numFmt numFmtId="176" formatCode="#,##0.00&quot; %&quot;"/>
    <numFmt numFmtId="177" formatCode="_-* #,##0.00&quot; €&quot;_-;\-* #,##0.00&quot; €&quot;_-;_-* \-??&quot; €&quot;_-;_-@_-"/>
    <numFmt numFmtId="178" formatCode="#,##0"/>
  </numFmts>
  <fonts count="3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  <font>
      <u val="single"/>
      <sz val="1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8"/>
      <name val="Arial"/>
      <family val="2"/>
      <charset val="1"/>
    </font>
    <font>
      <sz val="12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i val="true"/>
      <sz val="10"/>
      <name val="Arial"/>
      <family val="2"/>
      <charset val="1"/>
    </font>
    <font>
      <sz val="6"/>
      <name val="Arial"/>
      <family val="2"/>
      <charset val="1"/>
    </font>
    <font>
      <b val="true"/>
      <sz val="12"/>
      <name val="Arial"/>
      <family val="2"/>
      <charset val="1"/>
    </font>
    <font>
      <sz val="7"/>
      <name val="Arial"/>
      <family val="2"/>
      <charset val="1"/>
    </font>
    <font>
      <b val="true"/>
      <sz val="12"/>
      <color rgb="FF000000"/>
      <name val="Times New Roman"/>
      <family val="1"/>
      <charset val="1"/>
    </font>
    <font>
      <b val="true"/>
      <sz val="12"/>
      <color rgb="FFFFFF0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2"/>
      <name val="Times New Roman"/>
      <family val="1"/>
      <charset val="1"/>
    </font>
    <font>
      <b val="true"/>
      <i val="true"/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16"/>
      <name val="Times New Roman"/>
      <family val="1"/>
      <charset val="1"/>
    </font>
    <font>
      <b val="true"/>
      <sz val="11"/>
      <color rgb="FF000000"/>
      <name val="Aptos"/>
      <family val="2"/>
      <charset val="1"/>
    </font>
    <font>
      <sz val="11"/>
      <color rgb="FF000000"/>
      <name val="Aptos"/>
      <family val="2"/>
      <charset val="1"/>
    </font>
    <font>
      <b val="true"/>
      <sz val="10"/>
      <color rgb="FF000000"/>
      <name val="Tahoma"/>
      <family val="2"/>
      <charset val="1"/>
    </font>
    <font>
      <sz val="10"/>
      <color rgb="FFFF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2"/>
      <color rgb="FF00B05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CCFFFF"/>
      </patternFill>
    </fill>
    <fill>
      <patternFill patternType="solid">
        <fgColor rgb="FFC0C0C0"/>
        <bgColor rgb="FFD0CECE"/>
      </patternFill>
    </fill>
    <fill>
      <patternFill patternType="solid">
        <fgColor rgb="FFD0CECE"/>
        <bgColor rgb="FFC0C0C0"/>
      </patternFill>
    </fill>
    <fill>
      <patternFill patternType="solid">
        <fgColor rgb="FFAFABAB"/>
        <bgColor rgb="FFA0B0C0"/>
      </patternFill>
    </fill>
    <fill>
      <patternFill patternType="solid">
        <fgColor rgb="FFFFFF00"/>
        <bgColor rgb="FFFFFF00"/>
      </patternFill>
    </fill>
  </fills>
  <borders count="10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double"/>
      <diagonal/>
    </border>
    <border diagonalUp="false" diagonalDown="false">
      <left style="double"/>
      <right style="thin"/>
      <top style="double"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/>
      <right style="thin"/>
      <top style="double"/>
      <bottom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double"/>
      <top style="thin"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thin"/>
      <right style="double"/>
      <top style="hair"/>
      <bottom style="hair"/>
      <diagonal/>
    </border>
    <border diagonalUp="false" diagonalDown="false">
      <left style="double"/>
      <right style="thin"/>
      <top style="hair"/>
      <bottom style="hair"/>
      <diagonal/>
    </border>
    <border diagonalUp="false" diagonalDown="false">
      <left style="double"/>
      <right style="thin"/>
      <top style="hair"/>
      <bottom style="double"/>
      <diagonal/>
    </border>
    <border diagonalUp="false" diagonalDown="false">
      <left style="thin"/>
      <right style="thin"/>
      <top style="hair"/>
      <bottom style="double"/>
      <diagonal/>
    </border>
    <border diagonalUp="false" diagonalDown="false">
      <left style="thin"/>
      <right/>
      <top style="hair"/>
      <bottom style="double"/>
      <diagonal/>
    </border>
    <border diagonalUp="false" diagonalDown="false">
      <left style="thin"/>
      <right style="double"/>
      <top style="hair"/>
      <bottom style="double"/>
      <diagonal/>
    </border>
    <border diagonalUp="false" diagonalDown="false">
      <left style="thin"/>
      <right style="thin"/>
      <top style="double"/>
      <bottom style="medium"/>
      <diagonal/>
    </border>
    <border diagonalUp="false" diagonalDown="false">
      <left style="thin"/>
      <right style="double"/>
      <top style="double"/>
      <bottom style="medium"/>
      <diagonal/>
    </border>
    <border diagonalUp="false" diagonalDown="false">
      <left style="double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double"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/>
      <right style="thin"/>
      <top/>
      <bottom style="hair"/>
      <diagonal/>
    </border>
    <border diagonalUp="false" diagonalDown="false">
      <left/>
      <right style="double"/>
      <top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/>
      <right style="double"/>
      <top style="hair"/>
      <bottom style="hair"/>
      <diagonal/>
    </border>
    <border diagonalUp="false" diagonalDown="false">
      <left/>
      <right style="thin"/>
      <top style="hair"/>
      <bottom style="medium"/>
      <diagonal/>
    </border>
    <border diagonalUp="false" diagonalDown="false">
      <left/>
      <right style="double"/>
      <top style="hair"/>
      <bottom style="medium"/>
      <diagonal/>
    </border>
    <border diagonalUp="false" diagonalDown="false">
      <left style="double"/>
      <right style="thin"/>
      <top style="medium"/>
      <bottom style="double"/>
      <diagonal/>
    </border>
    <border diagonalUp="false" diagonalDown="false">
      <left style="thin"/>
      <right style="hair"/>
      <top style="medium"/>
      <bottom style="double"/>
      <diagonal/>
    </border>
    <border diagonalUp="false" diagonalDown="false">
      <left style="hair"/>
      <right style="hair"/>
      <top style="medium"/>
      <bottom style="double"/>
      <diagonal/>
    </border>
    <border diagonalUp="false" diagonalDown="false">
      <left style="hair"/>
      <right style="double"/>
      <top style="medium"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/>
      <right/>
      <top style="double"/>
      <bottom style="thin"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medium"/>
      <right/>
      <top style="medium"/>
      <bottom style="double"/>
      <diagonal/>
    </border>
    <border diagonalUp="false" diagonalDown="false">
      <left/>
      <right/>
      <top style="medium"/>
      <bottom style="double"/>
      <diagonal/>
    </border>
    <border diagonalUp="false" diagonalDown="false">
      <left/>
      <right style="double"/>
      <top style="medium"/>
      <bottom style="double"/>
      <diagonal/>
    </border>
    <border diagonalUp="false" diagonalDown="false">
      <left style="double"/>
      <right style="thin"/>
      <top style="double"/>
      <bottom style="medium"/>
      <diagonal/>
    </border>
    <border diagonalUp="false" diagonalDown="false">
      <left/>
      <right style="thin"/>
      <top style="double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double"/>
      <top style="thin"/>
      <bottom style="medium"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hair"/>
      <top style="medium"/>
      <bottom style="hair"/>
      <diagonal/>
    </border>
    <border diagonalUp="false" diagonalDown="false">
      <left style="hair"/>
      <right style="hair"/>
      <top style="medium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thin"/>
      <right style="hair"/>
      <top style="hair"/>
      <bottom style="medium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/>
      <top style="hair"/>
      <bottom/>
      <diagonal/>
    </border>
    <border diagonalUp="false" diagonalDown="false">
      <left style="double"/>
      <right/>
      <top style="medium"/>
      <bottom style="double"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 style="double"/>
      <top style="medium"/>
      <bottom style="double"/>
      <diagonal/>
    </border>
    <border diagonalUp="false" diagonalDown="false">
      <left style="thin"/>
      <right style="double"/>
      <top style="double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 style="thin"/>
      <top/>
      <bottom style="double"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/>
      <right/>
      <top/>
      <bottom style="thick"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 style="thick"/>
      <bottom style="double"/>
      <diagonal/>
    </border>
    <border diagonalUp="false" diagonalDown="false">
      <left/>
      <right style="thick"/>
      <top style="thick"/>
      <bottom style="double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ck"/>
      <top style="double"/>
      <bottom style="thin"/>
      <diagonal/>
    </border>
    <border diagonalUp="false" diagonalDown="false">
      <left style="thick"/>
      <right/>
      <top style="thin"/>
      <bottom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ck"/>
      <right style="thin"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n"/>
      <top style="double"/>
      <bottom style="thin"/>
      <diagonal/>
    </border>
    <border diagonalUp="false" diagonalDown="false">
      <left style="thin"/>
      <right style="thick"/>
      <top/>
      <bottom style="thin"/>
      <diagonal/>
    </border>
    <border diagonalUp="false" diagonalDown="false">
      <left style="thick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ck"/>
      <right style="thin"/>
      <top style="thin"/>
      <bottom/>
      <diagonal/>
    </border>
    <border diagonalUp="false" diagonalDown="false">
      <left style="thick"/>
      <right/>
      <top/>
      <bottom style="double"/>
      <diagonal/>
    </border>
    <border diagonalUp="false" diagonalDown="false">
      <left/>
      <right style="thick"/>
      <top/>
      <bottom style="double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medium">
        <color rgb="FFA0B0C0"/>
      </left>
      <right style="medium">
        <color rgb="FFA0B0C0"/>
      </right>
      <top style="medium">
        <color rgb="FFA0B0C0"/>
      </top>
      <bottom/>
      <diagonal/>
    </border>
    <border diagonalUp="false" diagonalDown="false">
      <left style="medium">
        <color rgb="FFA0B0C0"/>
      </left>
      <right style="medium">
        <color rgb="FFA0B0C0"/>
      </right>
      <top/>
      <bottom style="medium">
        <color rgb="FFA0B0C0"/>
      </bottom>
      <diagonal/>
    </border>
    <border diagonalUp="false" diagonalDown="false">
      <left/>
      <right style="medium">
        <color rgb="FFA0B0C0"/>
      </right>
      <top/>
      <bottom style="medium">
        <color rgb="FFA0B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7" fillId="2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2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2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8" fillId="2" borderId="1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1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8" fillId="2" borderId="1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8" fillId="2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6" fillId="2" borderId="16" xfId="0" applyFont="true" applyBorder="true" applyAlignment="true" applyProtection="true">
      <alignment horizontal="left" vertical="bottom" textRotation="0" wrapText="false" indent="0" shrinkToFit="true"/>
      <protection locked="false" hidden="false"/>
    </xf>
    <xf numFmtId="168" fontId="8" fillId="2" borderId="15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0" fillId="2" borderId="17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5" fontId="8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1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8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8" fillId="2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8" fillId="2" borderId="18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0" fillId="2" borderId="20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8" fontId="6" fillId="2" borderId="19" xfId="0" applyFont="true" applyBorder="true" applyAlignment="true" applyProtection="true">
      <alignment horizontal="left" vertical="bottom" textRotation="0" wrapText="false" indent="0" shrinkToFit="true"/>
      <protection locked="false" hidden="false"/>
    </xf>
    <xf numFmtId="166" fontId="8" fillId="2" borderId="2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8" fillId="2" borderId="2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8" fillId="2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2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8" fillId="2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8" fillId="2" borderId="2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6" fillId="2" borderId="24" xfId="0" applyFont="true" applyBorder="true" applyAlignment="true" applyProtection="true">
      <alignment horizontal="left" vertical="bottom" textRotation="0" wrapText="false" indent="0" shrinkToFit="true"/>
      <protection locked="false" hidden="false"/>
    </xf>
    <xf numFmtId="168" fontId="8" fillId="2" borderId="2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0" fillId="2" borderId="25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9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true"/>
    </xf>
    <xf numFmtId="170" fontId="0" fillId="2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true"/>
    </xf>
    <xf numFmtId="171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justify" vertical="bottom" textRotation="0" wrapText="true" indent="0" shrinkToFit="false"/>
      <protection locked="true" hidden="false"/>
    </xf>
    <xf numFmtId="171" fontId="0" fillId="2" borderId="1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71" fontId="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8" fillId="0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8" fillId="0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8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8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8" fillId="0" borderId="3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1" fontId="8" fillId="0" borderId="32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71" fontId="0" fillId="0" borderId="18" xfId="0" applyFont="false" applyBorder="true" applyAlignment="true" applyProtection="true">
      <alignment horizontal="general" vertical="bottom" textRotation="0" wrapText="false" indent="0" shrinkToFit="true"/>
      <protection locked="true" hidden="true"/>
    </xf>
    <xf numFmtId="172" fontId="10" fillId="0" borderId="34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0" fillId="0" borderId="3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35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72" fontId="10" fillId="0" borderId="36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0" fillId="0" borderId="37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72" fontId="10" fillId="0" borderId="3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0" fillId="0" borderId="39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2" borderId="41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5" fillId="2" borderId="42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5" fillId="2" borderId="4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8" fillId="2" borderId="4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2" borderId="45" xfId="0" applyFont="fals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2" borderId="45" xfId="0" applyFont="false" applyBorder="true" applyAlignment="true" applyProtection="true">
      <alignment horizontal="left" vertical="bottom" textRotation="0" wrapText="false" indent="0" shrinkToFit="false"/>
      <protection locked="true" hidden="true"/>
    </xf>
    <xf numFmtId="171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71" fontId="1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2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71" fontId="4" fillId="2" borderId="4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4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4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4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5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0" fillId="0" borderId="51" xfId="0" applyFont="fals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5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0" fillId="0" borderId="5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6" fillId="0" borderId="5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6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5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5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2" fillId="0" borderId="5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8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73" fontId="0" fillId="0" borderId="59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73" fontId="0" fillId="0" borderId="60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73" fontId="0" fillId="0" borderId="59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3" fontId="0" fillId="0" borderId="59" xfId="0" applyFont="false" applyBorder="true" applyAlignment="true" applyProtection="true">
      <alignment horizontal="right" vertical="bottom" textRotation="0" wrapText="false" indent="0" shrinkToFit="false"/>
      <protection locked="true" hidden="true"/>
    </xf>
    <xf numFmtId="171" fontId="12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61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73" fontId="0" fillId="0" borderId="60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3" fontId="0" fillId="0" borderId="60" xfId="0" applyFont="false" applyBorder="true" applyAlignment="true" applyProtection="true">
      <alignment horizontal="right" vertical="bottom" textRotation="0" wrapText="false" indent="0" shrinkToFit="false"/>
      <protection locked="true" hidden="true"/>
    </xf>
    <xf numFmtId="171" fontId="12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8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3" borderId="62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3" fontId="0" fillId="0" borderId="63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71" fontId="0" fillId="3" borderId="64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1" fontId="8" fillId="0" borderId="5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0" fillId="0" borderId="65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71" fontId="0" fillId="0" borderId="6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" fillId="0" borderId="67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73" fontId="5" fillId="0" borderId="68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73" fontId="5" fillId="0" borderId="69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0" fillId="2" borderId="4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7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73" fontId="17" fillId="2" borderId="7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2" borderId="7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2" borderId="7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7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7" fillId="2" borderId="7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2" borderId="7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1" fontId="0" fillId="2" borderId="7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2" borderId="7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0" fillId="2" borderId="7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3" borderId="7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2" borderId="7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2" fillId="2" borderId="7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2" borderId="8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2" borderId="8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22" fillId="2" borderId="8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2" borderId="8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2" fillId="3" borderId="8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3" borderId="8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0" borderId="8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2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5" fontId="23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6" fontId="23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5" fontId="23" fillId="0" borderId="8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22" fillId="0" borderId="8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0" borderId="1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23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6" fontId="23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3" fontId="23" fillId="0" borderId="8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3" fontId="23" fillId="0" borderId="8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2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0" borderId="8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6" fontId="2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73" fontId="23" fillId="0" borderId="72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23" fillId="0" borderId="8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6" fontId="23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3" fontId="23" fillId="0" borderId="9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24" fillId="2" borderId="9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25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6" fontId="25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5" fontId="25" fillId="0" borderId="11" xfId="17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5" fontId="25" fillId="0" borderId="8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21" fillId="0" borderId="8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9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6" fillId="3" borderId="9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2" fillId="3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2" fillId="3" borderId="9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0" borderId="9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9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23" fillId="0" borderId="9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5" borderId="8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1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3" fillId="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23" fillId="0" borderId="8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23" fillId="0" borderId="8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8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3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23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3" fillId="0" borderId="9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4" fillId="2" borderId="9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1" fillId="0" borderId="8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9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8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3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23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5" fillId="0" borderId="8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2" fillId="0" borderId="9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3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8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0" borderId="8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2" borderId="9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5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5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5" fillId="2" borderId="9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3" fillId="3" borderId="8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9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8" fillId="3" borderId="8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7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6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5" fontId="26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3" fontId="26" fillId="0" borderId="8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21" fillId="3" borderId="10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3" borderId="7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10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2" borderId="10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0" fillId="2" borderId="10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0" fillId="2" borderId="10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b val="1"/>
        <i val="1"/>
        <strike val="0"/>
        <color rgb="FFFFFFFF"/>
        <u val="none"/>
      </font>
      <fill>
        <patternFill>
          <bgColor rgb="FFFF0000"/>
        </patternFill>
      </fill>
    </dxf>
    <dxf>
      <font>
        <b val="1"/>
        <i val="1"/>
        <strike val="0"/>
        <color rgb="FFFFFFFF"/>
        <u val="none"/>
      </font>
      <fill>
        <patternFill>
          <bgColor rgb="FFFF0000"/>
        </patternFill>
      </fill>
    </dxf>
    <dxf>
      <font>
        <b val="1"/>
        <i val="1"/>
        <strike val="0"/>
        <color rgb="FFFFFFFF"/>
        <u val="none"/>
      </font>
      <fill>
        <patternFill>
          <bgColor rgb="FFFF0000"/>
        </patternFill>
      </fill>
    </dxf>
    <dxf>
      <font>
        <b val="1"/>
        <i val="1"/>
        <strike val="0"/>
        <color rgb="FFFFFFFF"/>
        <u val="none"/>
      </font>
      <fill>
        <patternFill>
          <bgColor rgb="FFFF0000"/>
        </patternFill>
      </fill>
    </dxf>
    <dxf>
      <font>
        <b val="1"/>
        <i val="1"/>
        <strike val="0"/>
        <color rgb="FFFFFFFF"/>
        <u val="none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D966"/>
        </patternFill>
      </fill>
    </dxf>
    <dxf>
      <fill>
        <patternFill>
          <bgColor rgb="FFFFE699"/>
        </patternFill>
      </fill>
    </dxf>
    <dxf>
      <fill>
        <patternFill>
          <bgColor rgb="FF8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0B0C0"/>
      <rgbColor rgb="FF993366"/>
      <rgbColor rgb="FFFFE699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AFABAB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13</xdr:col>
      <xdr:colOff>152280</xdr:colOff>
      <xdr:row>0</xdr:row>
      <xdr:rowOff>190440</xdr:rowOff>
    </xdr:from>
    <xdr:to>
      <xdr:col>20</xdr:col>
      <xdr:colOff>93600</xdr:colOff>
      <xdr:row>27</xdr:row>
      <xdr:rowOff>84240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10125000" y="190440"/>
          <a:ext cx="5595480" cy="6303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17</xdr:col>
      <xdr:colOff>436320</xdr:colOff>
      <xdr:row>11</xdr:row>
      <xdr:rowOff>133560</xdr:rowOff>
    </xdr:from>
    <xdr:to>
      <xdr:col>18</xdr:col>
      <xdr:colOff>507240</xdr:colOff>
      <xdr:row>12</xdr:row>
      <xdr:rowOff>137160</xdr:rowOff>
    </xdr:to>
    <xdr:sp>
      <xdr:nvSpPr>
        <xdr:cNvPr id="1" name="Elipse 5"/>
        <xdr:cNvSpPr/>
      </xdr:nvSpPr>
      <xdr:spPr>
        <a:xfrm>
          <a:off x="13640040" y="2705400"/>
          <a:ext cx="878400" cy="251280"/>
        </a:xfrm>
        <a:prstGeom prst="ellipse">
          <a:avLst/>
        </a:prstGeom>
        <a:noFill/>
        <a:ln w="28575">
          <a:solidFill>
            <a:srgbClr val="00b05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21</xdr:col>
      <xdr:colOff>0</xdr:colOff>
      <xdr:row>1</xdr:row>
      <xdr:rowOff>0</xdr:rowOff>
    </xdr:from>
    <xdr:to>
      <xdr:col>27</xdr:col>
      <xdr:colOff>97560</xdr:colOff>
      <xdr:row>29</xdr:row>
      <xdr:rowOff>99720</xdr:rowOff>
    </xdr:to>
    <xdr:pic>
      <xdr:nvPicPr>
        <xdr:cNvPr id="2" name="Imagen 7" descr=""/>
        <xdr:cNvPicPr/>
      </xdr:nvPicPr>
      <xdr:blipFill>
        <a:blip r:embed="rId2"/>
        <a:stretch/>
      </xdr:blipFill>
      <xdr:spPr>
        <a:xfrm>
          <a:off x="16434360" y="361800"/>
          <a:ext cx="4943880" cy="64627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R104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H15" activeCellId="0" sqref="H15"/>
    </sheetView>
  </sheetViews>
  <sheetFormatPr defaultColWidth="11.4453125" defaultRowHeight="12.75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1" width="4.14"/>
    <col collapsed="false" customWidth="true" hidden="false" outlineLevel="0" max="3" min="3" style="1" width="3.98"/>
    <col collapsed="false" customWidth="true" hidden="false" outlineLevel="0" max="4" min="4" style="1" width="3.86"/>
    <col collapsed="false" customWidth="true" hidden="false" outlineLevel="0" max="5" min="5" style="1" width="3.71"/>
    <col collapsed="false" customWidth="true" hidden="false" outlineLevel="0" max="7" min="6" style="1" width="4.29"/>
    <col collapsed="false" customWidth="true" hidden="false" outlineLevel="0" max="8" min="8" style="1" width="6.42"/>
    <col collapsed="false" customWidth="false" hidden="false" outlineLevel="0" max="9" min="9" style="1" width="11.43"/>
    <col collapsed="false" customWidth="true" hidden="false" outlineLevel="0" max="10" min="10" style="1" width="17.59"/>
    <col collapsed="false" customWidth="false" hidden="false" outlineLevel="0" max="11" min="11" style="1" width="11.43"/>
    <col collapsed="false" customWidth="true" hidden="false" outlineLevel="0" max="12" min="12" style="1" width="10.58"/>
    <col collapsed="false" customWidth="true" hidden="false" outlineLevel="0" max="13" min="13" style="1" width="7.15"/>
    <col collapsed="false" customWidth="true" hidden="false" outlineLevel="0" max="14" min="14" style="1" width="10"/>
    <col collapsed="false" customWidth="true" hidden="false" outlineLevel="0" max="15" min="15" style="1" width="11.14"/>
    <col collapsed="false" customWidth="true" hidden="false" outlineLevel="0" max="16" min="16" style="1" width="12.71"/>
    <col collapsed="false" customWidth="true" hidden="false" outlineLevel="0" max="17" min="17" style="1" width="10"/>
    <col collapsed="false" customWidth="true" hidden="false" outlineLevel="0" max="18" min="18" style="1" width="6.29"/>
  </cols>
  <sheetData>
    <row r="1" customFormat="false" ht="13" hidden="false" customHeight="false" outlineLevel="0" collapsed="false">
      <c r="A1" s="2" t="s">
        <v>0</v>
      </c>
      <c r="B1" s="2"/>
      <c r="C1" s="3" t="s">
        <v>1</v>
      </c>
      <c r="D1" s="3"/>
      <c r="E1" s="3"/>
      <c r="F1" s="3"/>
      <c r="G1" s="3"/>
      <c r="H1" s="3"/>
      <c r="I1" s="3"/>
      <c r="J1" s="3"/>
      <c r="L1" s="4" t="s">
        <v>2</v>
      </c>
      <c r="M1" s="4"/>
      <c r="N1" s="4"/>
      <c r="O1" s="4"/>
      <c r="P1" s="4"/>
      <c r="Q1" s="4"/>
      <c r="R1" s="4"/>
    </row>
    <row r="2" customFormat="false" ht="12.75" hidden="false" customHeight="false" outlineLevel="0" collapsed="false">
      <c r="A2" s="5" t="s">
        <v>3</v>
      </c>
    </row>
    <row r="3" customFormat="false" ht="15" hidden="false" customHeight="false" outlineLevel="0" collapsed="false">
      <c r="A3" s="6" t="s">
        <v>4</v>
      </c>
      <c r="B3" s="6"/>
      <c r="C3" s="6"/>
      <c r="D3" s="7" t="s">
        <v>5</v>
      </c>
      <c r="E3" s="7"/>
      <c r="F3" s="7"/>
      <c r="G3" s="7"/>
      <c r="H3" s="7"/>
      <c r="I3" s="7"/>
      <c r="J3" s="1" t="s">
        <v>6</v>
      </c>
      <c r="K3" s="8"/>
      <c r="L3" s="8"/>
      <c r="M3" s="8"/>
      <c r="N3" s="8"/>
      <c r="O3" s="8"/>
      <c r="P3" s="5" t="s">
        <v>7</v>
      </c>
      <c r="Q3" s="9"/>
      <c r="R3" s="10" t="s">
        <v>8</v>
      </c>
    </row>
    <row r="4" customFormat="false" ht="12.75" hidden="false" customHeight="false" outlineLevel="0" collapsed="false">
      <c r="D4" s="11"/>
      <c r="E4" s="11"/>
      <c r="F4" s="11"/>
      <c r="G4" s="12"/>
      <c r="H4" s="11"/>
      <c r="I4" s="11"/>
      <c r="J4" s="1" t="s">
        <v>9</v>
      </c>
      <c r="K4" s="13"/>
      <c r="L4" s="13"/>
      <c r="M4" s="13"/>
      <c r="N4" s="14" t="s">
        <v>10</v>
      </c>
      <c r="O4" s="15"/>
      <c r="P4" s="16" t="s">
        <v>11</v>
      </c>
      <c r="Q4" s="17"/>
      <c r="R4" s="17"/>
    </row>
    <row r="5" customFormat="false" ht="16.5" hidden="false" customHeight="true" outlineLevel="0" collapsed="false">
      <c r="A5" s="18" t="s">
        <v>12</v>
      </c>
      <c r="B5" s="19"/>
      <c r="C5" s="19"/>
      <c r="J5" s="1" t="s">
        <v>13</v>
      </c>
      <c r="N5" s="20"/>
      <c r="O5" s="21"/>
      <c r="Q5" s="22"/>
      <c r="R5" s="22"/>
    </row>
    <row r="6" customFormat="false" ht="19.5" hidden="false" customHeight="true" outlineLevel="0" collapsed="false">
      <c r="A6" s="23" t="s">
        <v>14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customFormat="false" ht="17.25" hidden="false" customHeight="true" outlineLevel="0" collapsed="false">
      <c r="A7" s="24" t="s">
        <v>15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customFormat="false" ht="12.75" hidden="false" customHeight="true" outlineLevel="0" collapsed="false">
      <c r="A8" s="25" t="s">
        <v>16</v>
      </c>
      <c r="B8" s="25"/>
      <c r="C8" s="25"/>
      <c r="D8" s="26" t="s">
        <v>17</v>
      </c>
      <c r="E8" s="26"/>
      <c r="F8" s="26"/>
      <c r="G8" s="26"/>
      <c r="H8" s="27" t="s">
        <v>18</v>
      </c>
      <c r="I8" s="27"/>
      <c r="J8" s="27"/>
      <c r="K8" s="27"/>
      <c r="L8" s="28" t="s">
        <v>19</v>
      </c>
      <c r="M8" s="29" t="s">
        <v>20</v>
      </c>
      <c r="N8" s="29"/>
      <c r="O8" s="29"/>
      <c r="P8" s="29"/>
      <c r="Q8" s="29"/>
      <c r="R8" s="29"/>
    </row>
    <row r="9" customFormat="false" ht="12.75" hidden="false" customHeight="false" outlineLevel="0" collapsed="false">
      <c r="A9" s="30" t="s">
        <v>21</v>
      </c>
      <c r="B9" s="31" t="s">
        <v>22</v>
      </c>
      <c r="C9" s="31" t="s">
        <v>23</v>
      </c>
      <c r="D9" s="32" t="s">
        <v>24</v>
      </c>
      <c r="E9" s="32"/>
      <c r="F9" s="31" t="s">
        <v>22</v>
      </c>
      <c r="G9" s="31" t="s">
        <v>23</v>
      </c>
      <c r="H9" s="27"/>
      <c r="I9" s="27"/>
      <c r="J9" s="27"/>
      <c r="K9" s="27"/>
      <c r="L9" s="33" t="s">
        <v>25</v>
      </c>
      <c r="M9" s="29"/>
      <c r="N9" s="29"/>
      <c r="O9" s="29"/>
      <c r="P9" s="29"/>
      <c r="Q9" s="29"/>
      <c r="R9" s="29"/>
    </row>
    <row r="10" customFormat="false" ht="12.75" hidden="false" customHeight="false" outlineLevel="0" collapsed="false">
      <c r="A10" s="30"/>
      <c r="B10" s="31"/>
      <c r="C10" s="31"/>
      <c r="D10" s="34" t="s">
        <v>26</v>
      </c>
      <c r="E10" s="34" t="s">
        <v>27</v>
      </c>
      <c r="F10" s="31"/>
      <c r="G10" s="31"/>
      <c r="H10" s="35" t="s">
        <v>28</v>
      </c>
      <c r="I10" s="35"/>
      <c r="J10" s="35"/>
      <c r="K10" s="35"/>
      <c r="L10" s="36" t="s">
        <v>29</v>
      </c>
      <c r="M10" s="29"/>
      <c r="N10" s="29"/>
      <c r="O10" s="29"/>
      <c r="P10" s="29"/>
      <c r="Q10" s="29"/>
      <c r="R10" s="29"/>
    </row>
    <row r="11" customFormat="false" ht="12.75" hidden="false" customHeight="false" outlineLevel="0" collapsed="false">
      <c r="A11" s="37"/>
      <c r="B11" s="38"/>
      <c r="C11" s="38"/>
      <c r="D11" s="39" t="str">
        <f aca="false">IF(E11&lt;&gt;"","",IF(AND(A11&lt;15,A11&gt;1),"X",""))</f>
        <v/>
      </c>
      <c r="E11" s="38"/>
      <c r="F11" s="40"/>
      <c r="G11" s="41"/>
      <c r="H11" s="42"/>
      <c r="I11" s="42"/>
      <c r="J11" s="42"/>
      <c r="K11" s="42"/>
      <c r="L11" s="43"/>
      <c r="M11" s="44"/>
      <c r="N11" s="44"/>
      <c r="O11" s="44"/>
      <c r="P11" s="44"/>
      <c r="Q11" s="44"/>
      <c r="R11" s="44"/>
    </row>
    <row r="12" customFormat="false" ht="12.75" hidden="false" customHeight="false" outlineLevel="0" collapsed="false">
      <c r="A12" s="37"/>
      <c r="B12" s="45"/>
      <c r="C12" s="45"/>
      <c r="D12" s="46" t="str">
        <f aca="false">IF(E12&lt;&gt;"","",IF(AND(A12&lt;15,A12&gt;1),"X",""))</f>
        <v/>
      </c>
      <c r="E12" s="45"/>
      <c r="F12" s="47"/>
      <c r="G12" s="48"/>
      <c r="H12" s="42"/>
      <c r="I12" s="42"/>
      <c r="J12" s="42"/>
      <c r="K12" s="42"/>
      <c r="L12" s="49"/>
      <c r="M12" s="50"/>
      <c r="N12" s="50"/>
      <c r="O12" s="50"/>
      <c r="P12" s="50"/>
      <c r="Q12" s="50"/>
      <c r="R12" s="50"/>
    </row>
    <row r="13" customFormat="false" ht="12.75" hidden="false" customHeight="false" outlineLevel="0" collapsed="false">
      <c r="A13" s="37"/>
      <c r="B13" s="45"/>
      <c r="C13" s="45"/>
      <c r="D13" s="46" t="str">
        <f aca="false">IF(E13&lt;&gt;"","",IF(AND(A13&lt;15,A13&gt;1),"X",""))</f>
        <v/>
      </c>
      <c r="E13" s="45"/>
      <c r="F13" s="47"/>
      <c r="G13" s="48"/>
      <c r="H13" s="42"/>
      <c r="I13" s="42"/>
      <c r="J13" s="42"/>
      <c r="K13" s="42"/>
      <c r="L13" s="49"/>
      <c r="M13" s="50"/>
      <c r="N13" s="50"/>
      <c r="O13" s="50"/>
      <c r="P13" s="50"/>
      <c r="Q13" s="50"/>
      <c r="R13" s="50"/>
    </row>
    <row r="14" customFormat="false" ht="12.75" hidden="false" customHeight="false" outlineLevel="0" collapsed="false">
      <c r="A14" s="37"/>
      <c r="B14" s="45"/>
      <c r="C14" s="45"/>
      <c r="D14" s="46" t="str">
        <f aca="false">IF(E14&lt;&gt;"","",IF(AND(A14&lt;15,A14&gt;1),"X",""))</f>
        <v/>
      </c>
      <c r="E14" s="45"/>
      <c r="F14" s="47"/>
      <c r="G14" s="48"/>
      <c r="H14" s="42"/>
      <c r="I14" s="42"/>
      <c r="J14" s="42"/>
      <c r="K14" s="42"/>
      <c r="L14" s="49"/>
      <c r="M14" s="50"/>
      <c r="N14" s="50"/>
      <c r="O14" s="50"/>
      <c r="P14" s="50"/>
      <c r="Q14" s="50"/>
      <c r="R14" s="50"/>
    </row>
    <row r="15" customFormat="false" ht="12.75" hidden="false" customHeight="false" outlineLevel="0" collapsed="false">
      <c r="A15" s="37"/>
      <c r="B15" s="45"/>
      <c r="C15" s="45"/>
      <c r="D15" s="46" t="str">
        <f aca="false">IF(E15&lt;&gt;"","",IF(AND(A15&lt;15,A15&gt;1),"X",""))</f>
        <v/>
      </c>
      <c r="E15" s="45"/>
      <c r="F15" s="47"/>
      <c r="G15" s="48"/>
      <c r="H15" s="42"/>
      <c r="I15" s="42"/>
      <c r="J15" s="42"/>
      <c r="K15" s="42"/>
      <c r="L15" s="49"/>
      <c r="M15" s="50"/>
      <c r="N15" s="50"/>
      <c r="O15" s="50"/>
      <c r="P15" s="50"/>
      <c r="Q15" s="50"/>
      <c r="R15" s="50"/>
    </row>
    <row r="16" customFormat="false" ht="12.75" hidden="false" customHeight="false" outlineLevel="0" collapsed="false">
      <c r="A16" s="37"/>
      <c r="B16" s="45"/>
      <c r="C16" s="45"/>
      <c r="D16" s="46" t="str">
        <f aca="false">IF(E16&lt;&gt;"","",IF(AND(A16&lt;15,A16&gt;1),"X",""))</f>
        <v/>
      </c>
      <c r="E16" s="45"/>
      <c r="F16" s="47"/>
      <c r="G16" s="48"/>
      <c r="H16" s="42"/>
      <c r="I16" s="42"/>
      <c r="J16" s="42"/>
      <c r="K16" s="42"/>
      <c r="L16" s="49"/>
      <c r="M16" s="50"/>
      <c r="N16" s="50"/>
      <c r="O16" s="50"/>
      <c r="P16" s="50"/>
      <c r="Q16" s="50"/>
      <c r="R16" s="50"/>
    </row>
    <row r="17" customFormat="false" ht="12.75" hidden="false" customHeight="false" outlineLevel="0" collapsed="false">
      <c r="A17" s="37"/>
      <c r="B17" s="45"/>
      <c r="C17" s="45"/>
      <c r="D17" s="46" t="str">
        <f aca="false">IF(E17&lt;&gt;"","",IF(AND(A17&lt;15,A17&gt;1),"X",""))</f>
        <v/>
      </c>
      <c r="E17" s="45"/>
      <c r="F17" s="47"/>
      <c r="G17" s="48"/>
      <c r="H17" s="51"/>
      <c r="I17" s="51"/>
      <c r="J17" s="51"/>
      <c r="K17" s="51"/>
      <c r="L17" s="49"/>
      <c r="M17" s="50"/>
      <c r="N17" s="50"/>
      <c r="O17" s="50"/>
      <c r="P17" s="50"/>
      <c r="Q17" s="50"/>
      <c r="R17" s="50"/>
    </row>
    <row r="18" customFormat="false" ht="12.75" hidden="false" customHeight="false" outlineLevel="0" collapsed="false">
      <c r="A18" s="52"/>
      <c r="B18" s="45"/>
      <c r="C18" s="45"/>
      <c r="D18" s="46" t="str">
        <f aca="false">IF(E18&lt;&gt;"","",IF(AND(A18&lt;15,A18&gt;1),"X",""))</f>
        <v/>
      </c>
      <c r="E18" s="45"/>
      <c r="F18" s="47"/>
      <c r="G18" s="48"/>
      <c r="H18" s="51"/>
      <c r="I18" s="51"/>
      <c r="J18" s="51"/>
      <c r="K18" s="51"/>
      <c r="L18" s="49"/>
      <c r="M18" s="50"/>
      <c r="N18" s="50"/>
      <c r="O18" s="50"/>
      <c r="P18" s="50"/>
      <c r="Q18" s="50"/>
      <c r="R18" s="50"/>
    </row>
    <row r="19" customFormat="false" ht="12.75" hidden="false" customHeight="false" outlineLevel="0" collapsed="false">
      <c r="A19" s="52"/>
      <c r="B19" s="45"/>
      <c r="C19" s="45"/>
      <c r="D19" s="46" t="str">
        <f aca="false">IF(E19&lt;&gt;"","",IF(AND(A19&lt;15,A19&gt;1),"X",""))</f>
        <v/>
      </c>
      <c r="E19" s="45"/>
      <c r="F19" s="47"/>
      <c r="G19" s="48"/>
      <c r="H19" s="51"/>
      <c r="I19" s="51"/>
      <c r="J19" s="51"/>
      <c r="K19" s="51"/>
      <c r="L19" s="49"/>
      <c r="M19" s="50"/>
      <c r="N19" s="50"/>
      <c r="O19" s="50"/>
      <c r="P19" s="50"/>
      <c r="Q19" s="50"/>
      <c r="R19" s="50"/>
    </row>
    <row r="20" customFormat="false" ht="12.75" hidden="false" customHeight="false" outlineLevel="0" collapsed="false">
      <c r="A20" s="52"/>
      <c r="B20" s="45"/>
      <c r="C20" s="45"/>
      <c r="D20" s="46" t="str">
        <f aca="false">IF(E20&lt;&gt;"","",IF(AND(A20&lt;15,A20&gt;1),"X",""))</f>
        <v/>
      </c>
      <c r="E20" s="45"/>
      <c r="F20" s="47"/>
      <c r="G20" s="48"/>
      <c r="H20" s="51"/>
      <c r="I20" s="51"/>
      <c r="J20" s="51"/>
      <c r="K20" s="51"/>
      <c r="L20" s="49"/>
      <c r="M20" s="50"/>
      <c r="N20" s="50"/>
      <c r="O20" s="50"/>
      <c r="P20" s="50"/>
      <c r="Q20" s="50"/>
      <c r="R20" s="50"/>
    </row>
    <row r="21" customFormat="false" ht="12.75" hidden="false" customHeight="false" outlineLevel="0" collapsed="false">
      <c r="A21" s="52"/>
      <c r="B21" s="45"/>
      <c r="C21" s="45"/>
      <c r="D21" s="46" t="str">
        <f aca="false">IF(E21&lt;&gt;"","",IF(AND(A21&lt;15,A21&gt;1),"X",""))</f>
        <v/>
      </c>
      <c r="E21" s="45"/>
      <c r="F21" s="47"/>
      <c r="G21" s="48"/>
      <c r="H21" s="51"/>
      <c r="I21" s="51"/>
      <c r="J21" s="51"/>
      <c r="K21" s="51"/>
      <c r="L21" s="49"/>
      <c r="M21" s="50"/>
      <c r="N21" s="50"/>
      <c r="O21" s="50"/>
      <c r="P21" s="50"/>
      <c r="Q21" s="50"/>
      <c r="R21" s="50"/>
    </row>
    <row r="22" customFormat="false" ht="12.75" hidden="false" customHeight="false" outlineLevel="0" collapsed="false">
      <c r="A22" s="52"/>
      <c r="B22" s="45"/>
      <c r="C22" s="45"/>
      <c r="D22" s="46" t="str">
        <f aca="false">IF(E22&lt;&gt;"","",IF(AND(A22&lt;15,A22&gt;1),"X",""))</f>
        <v/>
      </c>
      <c r="E22" s="45"/>
      <c r="F22" s="47"/>
      <c r="G22" s="48"/>
      <c r="H22" s="51"/>
      <c r="I22" s="51"/>
      <c r="J22" s="51"/>
      <c r="K22" s="51"/>
      <c r="L22" s="49"/>
      <c r="M22" s="50"/>
      <c r="N22" s="50"/>
      <c r="O22" s="50"/>
      <c r="P22" s="50"/>
      <c r="Q22" s="50"/>
      <c r="R22" s="50"/>
    </row>
    <row r="23" customFormat="false" ht="12.75" hidden="false" customHeight="false" outlineLevel="0" collapsed="false">
      <c r="A23" s="52"/>
      <c r="B23" s="45"/>
      <c r="C23" s="45"/>
      <c r="D23" s="46" t="str">
        <f aca="false">IF(E23&lt;&gt;"","",IF(AND(A23&lt;15,A23&gt;1),"X",""))</f>
        <v/>
      </c>
      <c r="E23" s="45"/>
      <c r="F23" s="47"/>
      <c r="G23" s="48"/>
      <c r="H23" s="51"/>
      <c r="I23" s="51"/>
      <c r="J23" s="51"/>
      <c r="K23" s="51"/>
      <c r="L23" s="49"/>
      <c r="M23" s="50"/>
      <c r="N23" s="50"/>
      <c r="O23" s="50"/>
      <c r="P23" s="50"/>
      <c r="Q23" s="50"/>
      <c r="R23" s="50"/>
    </row>
    <row r="24" customFormat="false" ht="12.75" hidden="false" customHeight="false" outlineLevel="0" collapsed="false">
      <c r="A24" s="52"/>
      <c r="B24" s="45"/>
      <c r="C24" s="45"/>
      <c r="D24" s="46" t="str">
        <f aca="false">IF(E24&lt;&gt;"","",IF(AND(A24&lt;15,A24&gt;1),"X",""))</f>
        <v/>
      </c>
      <c r="E24" s="45"/>
      <c r="F24" s="47"/>
      <c r="G24" s="48"/>
      <c r="H24" s="51"/>
      <c r="I24" s="51"/>
      <c r="J24" s="51"/>
      <c r="K24" s="51"/>
      <c r="L24" s="49"/>
      <c r="M24" s="50"/>
      <c r="N24" s="50"/>
      <c r="O24" s="50"/>
      <c r="P24" s="50"/>
      <c r="Q24" s="50"/>
      <c r="R24" s="50"/>
    </row>
    <row r="25" customFormat="false" ht="12.75" hidden="false" customHeight="false" outlineLevel="0" collapsed="false">
      <c r="A25" s="53"/>
      <c r="B25" s="54"/>
      <c r="C25" s="54"/>
      <c r="D25" s="55" t="str">
        <f aca="false">IF(E25&lt;&gt;"","",IF(AND(A25&lt;15,A25&gt;1),"X",""))</f>
        <v/>
      </c>
      <c r="E25" s="54"/>
      <c r="F25" s="56"/>
      <c r="G25" s="57"/>
      <c r="H25" s="58"/>
      <c r="I25" s="58"/>
      <c r="J25" s="58"/>
      <c r="K25" s="58"/>
      <c r="L25" s="59"/>
      <c r="M25" s="60"/>
      <c r="N25" s="60"/>
      <c r="O25" s="60"/>
      <c r="P25" s="60"/>
      <c r="Q25" s="60"/>
      <c r="R25" s="60"/>
    </row>
    <row r="26" customFormat="false" ht="12.75" hidden="false" customHeight="false" outlineLevel="0" collapsed="false">
      <c r="A26" s="61"/>
      <c r="B26" s="12"/>
      <c r="C26" s="12"/>
      <c r="D26" s="62"/>
      <c r="E26" s="12"/>
      <c r="F26" s="63"/>
      <c r="G26" s="63"/>
      <c r="H26" s="64"/>
      <c r="I26" s="64"/>
      <c r="J26" s="64"/>
      <c r="K26" s="64"/>
      <c r="L26" s="65"/>
      <c r="M26" s="64"/>
      <c r="N26" s="64"/>
      <c r="O26" s="64"/>
      <c r="P26" s="64"/>
      <c r="Q26" s="64"/>
      <c r="R26" s="64"/>
    </row>
    <row r="27" customFormat="false" ht="12.75" hidden="false" customHeight="false" outlineLevel="0" collapsed="false">
      <c r="A27" s="22"/>
      <c r="B27" s="22"/>
      <c r="C27" s="22"/>
      <c r="G27" s="22" t="s">
        <v>30</v>
      </c>
      <c r="H27" s="66" t="str">
        <f aca="false">D3</f>
        <v>TRUJILLO</v>
      </c>
      <c r="I27" s="66"/>
      <c r="J27" s="66"/>
      <c r="K27" s="67" t="str">
        <f aca="true">CONCATENATE("  a     ",B11,"  de        ",IF(C11=1,"Enero",IF(C11=2,"Febrero",IF(C11=3,"Marzo",IF(C11=4,"Abril",IF(C11=5,"Mayo",IF(C11=6,"Junio",IF(C11=9,"Septiembre",""))))))),IF(C11=10,"Octubre",IF(C11=11,"Noviembre",IF(C11=12,"Diciembre","")))," de   ",IF(AND(C11=12,MONTH(TODAY())=1),YEAR(TODAY())-1,YEAR(TODAY())))</f>
        <v>  a       de         de   2026</v>
      </c>
      <c r="L27" s="67"/>
      <c r="M27" s="67"/>
      <c r="N27" s="67"/>
    </row>
    <row r="28" customFormat="false" ht="12.75" hidden="false" customHeight="false" outlineLevel="0" collapsed="false">
      <c r="C28" s="68"/>
      <c r="D28" s="68"/>
      <c r="E28" s="68"/>
      <c r="F28" s="68"/>
      <c r="G28" s="68"/>
      <c r="H28" s="68"/>
      <c r="J28" s="69" t="s">
        <v>31</v>
      </c>
    </row>
    <row r="29" customFormat="false" ht="12.75" hidden="false" customHeight="false" outlineLevel="0" collapsed="false">
      <c r="A29" s="70"/>
      <c r="B29" s="70"/>
      <c r="C29" s="70"/>
      <c r="D29" s="70"/>
      <c r="E29" s="70"/>
      <c r="F29" s="70"/>
      <c r="G29" s="70"/>
      <c r="H29" s="70"/>
      <c r="J29" s="22"/>
      <c r="K29" s="22"/>
      <c r="L29" s="22"/>
      <c r="M29" s="22"/>
    </row>
    <row r="30" customFormat="false" ht="12.75" hidden="false" customHeight="false" outlineLevel="0" collapsed="false">
      <c r="G30" s="71"/>
      <c r="H30" s="71"/>
      <c r="I30" s="71"/>
      <c r="J30" s="71"/>
    </row>
    <row r="33" customFormat="false" ht="13" hidden="false" customHeight="false" outlineLevel="0" collapsed="false">
      <c r="A33" s="22"/>
      <c r="B33" s="22"/>
      <c r="C33" s="22"/>
      <c r="D33" s="22"/>
      <c r="E33" s="22"/>
      <c r="F33" s="22"/>
      <c r="G33" s="22"/>
      <c r="I33" s="72" t="s">
        <v>32</v>
      </c>
      <c r="J33" s="13" t="s">
        <v>33</v>
      </c>
      <c r="K33" s="13"/>
      <c r="L33" s="13"/>
    </row>
    <row r="34" customFormat="false" ht="8.25" hidden="false" customHeight="true" outlineLevel="0" collapsed="false"/>
    <row r="35" customFormat="false" ht="12.75" hidden="false" customHeight="false" outlineLevel="0" collapsed="false">
      <c r="A35" s="19" t="s">
        <v>34</v>
      </c>
      <c r="B35" s="19"/>
      <c r="C35" s="19"/>
      <c r="D35" s="19"/>
      <c r="E35" s="19"/>
      <c r="F35" s="19"/>
      <c r="G35" s="19"/>
      <c r="H35" s="19"/>
      <c r="I35" s="19"/>
    </row>
    <row r="36" customFormat="false" ht="13" hidden="false" customHeight="false" outlineLevel="0" collapsed="false">
      <c r="A36" s="73" t="s">
        <v>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</row>
    <row r="37" customFormat="false" ht="12.75" hidden="false" customHeight="false" outlineLevel="0" collapsed="false">
      <c r="A37" s="74" t="s">
        <v>36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</row>
    <row r="38" customFormat="false" ht="12.75" hidden="false" customHeight="false" outlineLevel="0" collapsed="false">
      <c r="F38" s="12"/>
      <c r="G38" s="11"/>
      <c r="I38" s="12" t="s">
        <v>37</v>
      </c>
    </row>
    <row r="39" customFormat="false" ht="12.75" hidden="false" customHeight="false" outlineLevel="0" collapsed="false">
      <c r="D39" s="70" t="str">
        <f aca="false">H27</f>
        <v>TRUJILLO</v>
      </c>
      <c r="E39" s="70"/>
      <c r="F39" s="70"/>
      <c r="G39" s="70"/>
      <c r="H39" s="70"/>
      <c r="I39" s="75" t="str">
        <f aca="false">Reverso!I24</f>
        <v>0 / 0 / 2026</v>
      </c>
      <c r="J39" s="75"/>
    </row>
    <row r="42" customFormat="false" ht="7.5" hidden="false" customHeight="true" outlineLevel="0" collapsed="false"/>
    <row r="43" customFormat="false" ht="12.75" hidden="false" customHeight="false" outlineLevel="0" collapsed="false">
      <c r="H43" s="66" t="str">
        <f aca="false">J33</f>
        <v>MARÍA MONTAÑA HERNÁNDEZ ROSADO</v>
      </c>
      <c r="I43" s="66"/>
      <c r="J43" s="66"/>
      <c r="K43" s="66"/>
    </row>
    <row r="49" customFormat="false" ht="12.75" hidden="false" customHeight="false" outlineLevel="0" collapsed="false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</row>
    <row r="50" customFormat="false" ht="12.75" hidden="false" customHeight="false" outlineLevel="0" collapsed="false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</row>
    <row r="51" customFormat="false" ht="12.75" hidden="false" customHeight="false" outlineLevel="0" collapsed="false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</row>
    <row r="52" customFormat="false" ht="12.75" hidden="false" customHeight="false" outlineLevel="0" collapsed="false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</row>
    <row r="53" customFormat="false" ht="12.75" hidden="false" customHeight="false" outlineLevel="0" collapsed="false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</row>
    <row r="54" customFormat="false" ht="12.75" hidden="false" customHeight="false" outlineLevel="0" collapsed="false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</row>
    <row r="55" customFormat="false" ht="12.75" hidden="false" customHeight="false" outlineLevel="0" collapsed="false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</row>
    <row r="56" customFormat="false" ht="12.75" hidden="false" customHeight="false" outlineLevel="0" collapsed="false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</row>
    <row r="57" customFormat="false" ht="12.75" hidden="false" customHeight="false" outlineLevel="0" collapsed="false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</row>
    <row r="58" customFormat="false" ht="12.75" hidden="false" customHeight="false" outlineLevel="0" collapsed="false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</row>
    <row r="59" customFormat="false" ht="12.75" hidden="false" customHeight="false" outlineLevel="0" collapsed="false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</row>
    <row r="60" customFormat="false" ht="12.75" hidden="false" customHeight="false" outlineLevel="0" collapsed="false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</row>
    <row r="61" customFormat="false" ht="12.75" hidden="false" customHeight="false" outlineLevel="0" collapsed="false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</row>
    <row r="62" customFormat="false" ht="12.75" hidden="false" customHeight="false" outlineLevel="0" collapsed="false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</row>
    <row r="63" customFormat="false" ht="12.75" hidden="false" customHeight="false" outlineLevel="0" collapsed="false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customFormat="false" ht="12.75" hidden="false" customHeight="false" outlineLevel="0" collapsed="false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</row>
    <row r="65" customFormat="false" ht="12.75" hidden="false" customHeight="false" outlineLevel="0" collapsed="false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</row>
    <row r="66" customFormat="false" ht="12.75" hidden="false" customHeight="false" outlineLevel="0" collapsed="false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</row>
    <row r="67" customFormat="false" ht="12.75" hidden="false" customHeight="false" outlineLevel="0" collapsed="false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</row>
    <row r="68" customFormat="false" ht="12.75" hidden="false" customHeight="false" outlineLevel="0" collapsed="false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</row>
    <row r="69" customFormat="false" ht="12.75" hidden="false" customHeight="false" outlineLevel="0" collapsed="false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</row>
    <row r="70" customFormat="false" ht="12.75" hidden="false" customHeight="false" outlineLevel="0" collapsed="false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</row>
    <row r="71" customFormat="false" ht="12.75" hidden="false" customHeight="false" outlineLevel="0" collapsed="false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</row>
    <row r="72" customFormat="false" ht="12.75" hidden="false" customHeight="false" outlineLevel="0" collapsed="false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</row>
    <row r="73" customFormat="false" ht="12.75" hidden="false" customHeight="false" outlineLevel="0" collapsed="false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</row>
    <row r="74" customFormat="false" ht="12.75" hidden="false" customHeight="false" outlineLevel="0" collapsed="false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</row>
    <row r="75" customFormat="false" ht="12.75" hidden="false" customHeight="false" outlineLevel="0" collapsed="false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</row>
    <row r="76" customFormat="false" ht="12.75" hidden="false" customHeight="false" outlineLevel="0" collapsed="false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</row>
    <row r="77" customFormat="false" ht="12.75" hidden="false" customHeight="false" outlineLevel="0" collapsed="false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</row>
    <row r="78" customFormat="false" ht="12.75" hidden="false" customHeight="false" outlineLevel="0" collapsed="false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</row>
    <row r="79" customFormat="false" ht="12.75" hidden="false" customHeight="false" outlineLevel="0" collapsed="false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</row>
    <row r="80" customFormat="false" ht="12.75" hidden="false" customHeight="false" outlineLevel="0" collapsed="false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</row>
    <row r="81" customFormat="false" ht="12.75" hidden="false" customHeight="false" outlineLevel="0" collapsed="false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customFormat="false" ht="12.75" hidden="false" customHeight="false" outlineLevel="0" collapsed="false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customFormat="false" ht="12.75" hidden="false" customHeight="false" outlineLevel="0" collapsed="false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customFormat="false" ht="12.75" hidden="false" customHeight="false" outlineLevel="0" collapsed="false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customFormat="false" ht="12.75" hidden="false" customHeight="false" outlineLevel="0" collapsed="false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customFormat="false" ht="12.75" hidden="false" customHeight="false" outlineLevel="0" collapsed="false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customFormat="false" ht="12.75" hidden="false" customHeight="false" outlineLevel="0" collapsed="false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customFormat="false" ht="12.75" hidden="false" customHeight="false" outlineLevel="0" collapsed="false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customFormat="false" ht="12.75" hidden="false" customHeight="false" outlineLevel="0" collapsed="false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customFormat="false" ht="12.75" hidden="false" customHeight="false" outlineLevel="0" collapsed="false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customFormat="false" ht="12.75" hidden="false" customHeight="false" outlineLevel="0" collapsed="false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customFormat="false" ht="12.75" hidden="false" customHeight="false" outlineLevel="0" collapsed="false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customFormat="false" ht="12.75" hidden="false" customHeight="false" outlineLevel="0" collapsed="false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customFormat="false" ht="12.75" hidden="false" customHeight="false" outlineLevel="0" collapsed="false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customFormat="false" ht="12.75" hidden="false" customHeight="false" outlineLevel="0" collapsed="false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customFormat="false" ht="12.75" hidden="false" customHeight="false" outlineLevel="0" collapsed="false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customFormat="false" ht="12.75" hidden="false" customHeight="false" outlineLevel="0" collapsed="false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  <row r="98" customFormat="false" ht="12.75" hidden="false" customHeight="false" outlineLevel="0" collapsed="false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</row>
    <row r="99" customFormat="false" ht="12.75" hidden="false" customHeight="false" outlineLevel="0" collapsed="false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</row>
    <row r="100" customFormat="false" ht="12.75" hidden="false" customHeight="false" outlineLevel="0" collapsed="false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</row>
    <row r="101" customFormat="false" ht="12.75" hidden="false" customHeight="false" outlineLevel="0" collapsed="false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</row>
    <row r="102" customFormat="false" ht="12.75" hidden="false" customHeight="false" outlineLevel="0" collapsed="false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</row>
    <row r="103" customFormat="false" ht="12.75" hidden="false" customHeight="fals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</row>
    <row r="104" customFormat="false" ht="12.75" hidden="false" customHeight="fals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</row>
    <row r="105" customFormat="false" ht="12.75" hidden="false" customHeight="fals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</row>
    <row r="106" customFormat="false" ht="12.75" hidden="false" customHeight="fals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</row>
    <row r="107" customFormat="false" ht="12.75" hidden="false" customHeight="false" outlineLevel="0" collapsed="false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</row>
    <row r="108" customFormat="false" ht="12.75" hidden="false" customHeight="false" outlineLevel="0" collapsed="false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</row>
    <row r="109" customFormat="false" ht="12.75" hidden="false" customHeight="false" outlineLevel="0" collapsed="false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</row>
    <row r="110" customFormat="false" ht="12.75" hidden="false" customHeight="false" outlineLevel="0" collapsed="false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</row>
    <row r="111" customFormat="false" ht="12.75" hidden="false" customHeight="false" outlineLevel="0" collapsed="false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</row>
    <row r="112" customFormat="false" ht="12.75" hidden="false" customHeight="false" outlineLevel="0" collapsed="false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</row>
    <row r="113" customFormat="false" ht="12.75" hidden="false" customHeight="false" outlineLevel="0" collapsed="false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</row>
    <row r="114" customFormat="false" ht="12.75" hidden="false" customHeight="false" outlineLevel="0" collapsed="false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</row>
    <row r="115" customFormat="false" ht="12.75" hidden="false" customHeight="false" outlineLevel="0" collapsed="false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</row>
    <row r="116" customFormat="false" ht="12.75" hidden="false" customHeight="false" outlineLevel="0" collapsed="false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</row>
    <row r="117" customFormat="false" ht="12.75" hidden="false" customHeight="false" outlineLevel="0" collapsed="false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</row>
    <row r="118" customFormat="false" ht="12.75" hidden="false" customHeight="false" outlineLevel="0" collapsed="false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</row>
    <row r="119" customFormat="false" ht="12.75" hidden="false" customHeight="false" outlineLevel="0" collapsed="false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</row>
    <row r="120" customFormat="false" ht="12.75" hidden="false" customHeight="false" outlineLevel="0" collapsed="false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</row>
    <row r="121" customFormat="false" ht="12.75" hidden="false" customHeight="false" outlineLevel="0" collapsed="false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</row>
    <row r="122" customFormat="false" ht="12.75" hidden="false" customHeight="false" outlineLevel="0" collapsed="false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</row>
    <row r="123" customFormat="false" ht="12.75" hidden="false" customHeight="false" outlineLevel="0" collapsed="false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</row>
    <row r="124" customFormat="false" ht="12.75" hidden="false" customHeight="false" outlineLevel="0" collapsed="false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</row>
    <row r="125" customFormat="false" ht="12.75" hidden="false" customHeight="false" outlineLevel="0" collapsed="false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</row>
    <row r="126" customFormat="false" ht="12.75" hidden="false" customHeight="false" outlineLevel="0" collapsed="false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</row>
    <row r="127" customFormat="false" ht="12.75" hidden="false" customHeight="false" outlineLevel="0" collapsed="false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</row>
    <row r="128" customFormat="false" ht="12.75" hidden="false" customHeight="false" outlineLevel="0" collapsed="false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</row>
    <row r="129" customFormat="false" ht="12.75" hidden="false" customHeight="false" outlineLevel="0" collapsed="false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</row>
    <row r="130" customFormat="false" ht="12.75" hidden="false" customHeight="false" outlineLevel="0" collapsed="false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</row>
    <row r="131" customFormat="false" ht="12.75" hidden="false" customHeight="false" outlineLevel="0" collapsed="false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</row>
    <row r="132" customFormat="false" ht="12.75" hidden="false" customHeight="false" outlineLevel="0" collapsed="false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</row>
    <row r="133" customFormat="false" ht="12.75" hidden="false" customHeight="false" outlineLevel="0" collapsed="false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</row>
    <row r="134" customFormat="false" ht="12.75" hidden="false" customHeight="false" outlineLevel="0" collapsed="false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</row>
    <row r="135" customFormat="false" ht="12.75" hidden="false" customHeight="false" outlineLevel="0" collapsed="false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</row>
    <row r="136" customFormat="false" ht="12.75" hidden="false" customHeight="false" outlineLevel="0" collapsed="false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</row>
    <row r="137" customFormat="false" ht="12.75" hidden="false" customHeight="false" outlineLevel="0" collapsed="false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</row>
    <row r="138" customFormat="false" ht="12.75" hidden="false" customHeight="false" outlineLevel="0" collapsed="false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</row>
    <row r="139" customFormat="false" ht="12.75" hidden="false" customHeight="false" outlineLevel="0" collapsed="false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</row>
    <row r="140" customFormat="false" ht="12.75" hidden="false" customHeight="false" outlineLevel="0" collapsed="false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</row>
    <row r="141" customFormat="false" ht="12.75" hidden="false" customHeight="false" outlineLevel="0" collapsed="false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</row>
    <row r="142" customFormat="false" ht="12.75" hidden="false" customHeight="false" outlineLevel="0" collapsed="false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</row>
    <row r="143" customFormat="false" ht="12.75" hidden="false" customHeight="false" outlineLevel="0" collapsed="false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</row>
    <row r="144" customFormat="false" ht="12.75" hidden="false" customHeight="false" outlineLevel="0" collapsed="false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</row>
    <row r="145" customFormat="false" ht="12.75" hidden="false" customHeight="false" outlineLevel="0" collapsed="false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</row>
    <row r="146" customFormat="false" ht="12.75" hidden="false" customHeight="false" outlineLevel="0" collapsed="false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</row>
    <row r="147" customFormat="false" ht="12.75" hidden="false" customHeight="false" outlineLevel="0" collapsed="false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</row>
    <row r="148" customFormat="false" ht="12.75" hidden="false" customHeight="false" outlineLevel="0" collapsed="false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</row>
    <row r="149" customFormat="false" ht="12.75" hidden="false" customHeight="false" outlineLevel="0" collapsed="false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</row>
    <row r="150" customFormat="false" ht="12.75" hidden="false" customHeight="false" outlineLevel="0" collapsed="false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</row>
    <row r="151" customFormat="false" ht="12.75" hidden="false" customHeight="false" outlineLevel="0" collapsed="false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</row>
    <row r="152" customFormat="false" ht="12.75" hidden="false" customHeight="false" outlineLevel="0" collapsed="false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</row>
    <row r="153" customFormat="false" ht="12.75" hidden="false" customHeight="false" outlineLevel="0" collapsed="false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</row>
    <row r="154" customFormat="false" ht="12.75" hidden="false" customHeight="false" outlineLevel="0" collapsed="false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</row>
    <row r="155" customFormat="false" ht="12.75" hidden="false" customHeight="false" outlineLevel="0" collapsed="false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</row>
    <row r="156" customFormat="false" ht="12.75" hidden="false" customHeight="false" outlineLevel="0" collapsed="false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</row>
    <row r="157" customFormat="false" ht="12.75" hidden="false" customHeight="false" outlineLevel="0" collapsed="false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</row>
    <row r="158" customFormat="false" ht="12.75" hidden="false" customHeight="false" outlineLevel="0" collapsed="false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</row>
    <row r="159" customFormat="false" ht="12.75" hidden="false" customHeight="false" outlineLevel="0" collapsed="false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</row>
    <row r="160" customFormat="false" ht="12.75" hidden="false" customHeight="false" outlineLevel="0" collapsed="false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</row>
    <row r="161" customFormat="false" ht="12.75" hidden="false" customHeight="false" outlineLevel="0" collapsed="false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</row>
    <row r="162" customFormat="false" ht="12.75" hidden="false" customHeight="false" outlineLevel="0" collapsed="false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</row>
    <row r="163" customFormat="false" ht="12.75" hidden="false" customHeight="false" outlineLevel="0" collapsed="false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</row>
    <row r="164" customFormat="false" ht="12.75" hidden="false" customHeight="false" outlineLevel="0" collapsed="false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</row>
    <row r="165" customFormat="false" ht="12.75" hidden="false" customHeight="false" outlineLevel="0" collapsed="false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</row>
    <row r="166" customFormat="false" ht="12.75" hidden="false" customHeight="false" outlineLevel="0" collapsed="false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</row>
    <row r="167" customFormat="false" ht="12.75" hidden="false" customHeight="false" outlineLevel="0" collapsed="false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customFormat="false" ht="12.75" hidden="false" customHeight="false" outlineLevel="0" collapsed="false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</row>
    <row r="169" customFormat="false" ht="12.75" hidden="false" customHeight="false" outlineLevel="0" collapsed="false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</row>
    <row r="170" customFormat="false" ht="12.75" hidden="false" customHeight="false" outlineLevel="0" collapsed="false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</row>
    <row r="171" customFormat="false" ht="12.75" hidden="false" customHeight="false" outlineLevel="0" collapsed="false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customFormat="false" ht="12.75" hidden="false" customHeight="false" outlineLevel="0" collapsed="false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</row>
    <row r="173" customFormat="false" ht="12.75" hidden="false" customHeight="false" outlineLevel="0" collapsed="false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</row>
    <row r="174" customFormat="false" ht="12.75" hidden="false" customHeight="false" outlineLevel="0" collapsed="false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</row>
    <row r="175" customFormat="false" ht="12.75" hidden="false" customHeight="false" outlineLevel="0" collapsed="false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customFormat="false" ht="12.75" hidden="false" customHeight="false" outlineLevel="0" collapsed="false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</row>
    <row r="177" customFormat="false" ht="12.75" hidden="false" customHeight="false" outlineLevel="0" collapsed="false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</row>
    <row r="178" customFormat="false" ht="12.75" hidden="false" customHeight="false" outlineLevel="0" collapsed="false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</row>
    <row r="179" customFormat="false" ht="12.75" hidden="false" customHeight="false" outlineLevel="0" collapsed="false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customFormat="false" ht="12.75" hidden="false" customHeight="false" outlineLevel="0" collapsed="false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</row>
    <row r="181" customFormat="false" ht="12.75" hidden="false" customHeight="false" outlineLevel="0" collapsed="false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</row>
    <row r="182" customFormat="false" ht="12.75" hidden="false" customHeight="false" outlineLevel="0" collapsed="false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</row>
    <row r="183" customFormat="false" ht="12.75" hidden="false" customHeight="false" outlineLevel="0" collapsed="false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customFormat="false" ht="12.75" hidden="false" customHeight="false" outlineLevel="0" collapsed="false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</row>
    <row r="185" customFormat="false" ht="12.75" hidden="false" customHeight="false" outlineLevel="0" collapsed="false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</row>
    <row r="186" customFormat="false" ht="12.75" hidden="false" customHeight="false" outlineLevel="0" collapsed="false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</row>
    <row r="187" customFormat="false" ht="12.75" hidden="false" customHeight="false" outlineLevel="0" collapsed="false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customFormat="false" ht="12.75" hidden="false" customHeight="false" outlineLevel="0" collapsed="false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</row>
    <row r="189" customFormat="false" ht="12.75" hidden="false" customHeight="false" outlineLevel="0" collapsed="false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</row>
    <row r="190" customFormat="false" ht="12.75" hidden="false" customHeight="false" outlineLevel="0" collapsed="false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</row>
    <row r="191" customFormat="false" ht="12.75" hidden="false" customHeight="false" outlineLevel="0" collapsed="false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customFormat="false" ht="12.75" hidden="false" customHeight="false" outlineLevel="0" collapsed="false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</row>
    <row r="193" customFormat="false" ht="12.75" hidden="false" customHeight="false" outlineLevel="0" collapsed="false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</row>
    <row r="194" customFormat="false" ht="12.75" hidden="false" customHeight="false" outlineLevel="0" collapsed="false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</row>
    <row r="195" customFormat="false" ht="12.75" hidden="false" customHeight="false" outlineLevel="0" collapsed="false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customFormat="false" ht="12.75" hidden="false" customHeight="false" outlineLevel="0" collapsed="false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</row>
    <row r="197" customFormat="false" ht="12.75" hidden="false" customHeight="false" outlineLevel="0" collapsed="false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</row>
    <row r="198" customFormat="false" ht="12.75" hidden="false" customHeight="false" outlineLevel="0" collapsed="false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</row>
    <row r="199" customFormat="false" ht="12.75" hidden="false" customHeight="false" outlineLevel="0" collapsed="false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customFormat="false" ht="12.75" hidden="false" customHeight="false" outlineLevel="0" collapsed="false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</row>
    <row r="201" customFormat="false" ht="12.75" hidden="false" customHeight="false" outlineLevel="0" collapsed="false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</row>
    <row r="202" customFormat="false" ht="12.75" hidden="false" customHeight="false" outlineLevel="0" collapsed="false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</row>
    <row r="203" customFormat="false" ht="12.75" hidden="false" customHeight="false" outlineLevel="0" collapsed="false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customFormat="false" ht="12.75" hidden="false" customHeight="false" outlineLevel="0" collapsed="false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</row>
    <row r="205" customFormat="false" ht="12.75" hidden="false" customHeight="false" outlineLevel="0" collapsed="false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</row>
    <row r="206" customFormat="false" ht="12.75" hidden="false" customHeight="false" outlineLevel="0" collapsed="false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</row>
    <row r="207" customFormat="false" ht="12.75" hidden="false" customHeight="false" outlineLevel="0" collapsed="false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customFormat="false" ht="12.75" hidden="false" customHeight="false" outlineLevel="0" collapsed="false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</row>
    <row r="209" customFormat="false" ht="12.75" hidden="false" customHeight="false" outlineLevel="0" collapsed="false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</row>
    <row r="210" customFormat="false" ht="12.75" hidden="false" customHeight="false" outlineLevel="0" collapsed="false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</row>
    <row r="211" customFormat="false" ht="12.75" hidden="false" customHeight="false" outlineLevel="0" collapsed="false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customFormat="false" ht="12.75" hidden="false" customHeight="false" outlineLevel="0" collapsed="false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</row>
    <row r="213" customFormat="false" ht="12.75" hidden="false" customHeight="false" outlineLevel="0" collapsed="false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</row>
    <row r="214" customFormat="false" ht="12.75" hidden="false" customHeight="false" outlineLevel="0" collapsed="false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</row>
    <row r="215" customFormat="false" ht="12.75" hidden="false" customHeight="false" outlineLevel="0" collapsed="false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customFormat="false" ht="12.75" hidden="false" customHeight="false" outlineLevel="0" collapsed="false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</row>
    <row r="217" customFormat="false" ht="12.75" hidden="false" customHeight="false" outlineLevel="0" collapsed="false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</row>
    <row r="218" customFormat="false" ht="12.75" hidden="false" customHeight="false" outlineLevel="0" collapsed="false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</row>
    <row r="219" customFormat="false" ht="12.75" hidden="false" customHeight="false" outlineLevel="0" collapsed="false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customFormat="false" ht="12.75" hidden="false" customHeight="false" outlineLevel="0" collapsed="false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</row>
    <row r="221" customFormat="false" ht="12.75" hidden="false" customHeight="false" outlineLevel="0" collapsed="false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</row>
    <row r="222" customFormat="false" ht="12.75" hidden="false" customHeight="false" outlineLevel="0" collapsed="false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</row>
    <row r="223" customFormat="false" ht="12.75" hidden="false" customHeight="false" outlineLevel="0" collapsed="false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customFormat="false" ht="12.75" hidden="false" customHeight="false" outlineLevel="0" collapsed="false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</row>
    <row r="225" customFormat="false" ht="12.75" hidden="false" customHeight="false" outlineLevel="0" collapsed="false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</row>
    <row r="226" customFormat="false" ht="12.75" hidden="false" customHeight="false" outlineLevel="0" collapsed="false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</row>
    <row r="227" customFormat="false" ht="12.75" hidden="false" customHeight="false" outlineLevel="0" collapsed="false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customFormat="false" ht="12.75" hidden="false" customHeight="false" outlineLevel="0" collapsed="false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</row>
    <row r="229" customFormat="false" ht="12.75" hidden="false" customHeight="false" outlineLevel="0" collapsed="false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</row>
    <row r="230" customFormat="false" ht="12.75" hidden="false" customHeight="false" outlineLevel="0" collapsed="false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</row>
    <row r="231" customFormat="false" ht="12.75" hidden="false" customHeight="false" outlineLevel="0" collapsed="false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customFormat="false" ht="12.75" hidden="false" customHeight="false" outlineLevel="0" collapsed="false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</row>
    <row r="233" customFormat="false" ht="12.75" hidden="false" customHeight="false" outlineLevel="0" collapsed="false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</row>
    <row r="234" customFormat="false" ht="12.75" hidden="false" customHeight="false" outlineLevel="0" collapsed="false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</row>
    <row r="235" customFormat="false" ht="12.75" hidden="false" customHeight="false" outlineLevel="0" collapsed="false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customFormat="false" ht="12.75" hidden="false" customHeight="false" outlineLevel="0" collapsed="false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</row>
    <row r="237" customFormat="false" ht="12.75" hidden="false" customHeight="false" outlineLevel="0" collapsed="false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</row>
    <row r="238" customFormat="false" ht="12.75" hidden="false" customHeight="false" outlineLevel="0" collapsed="false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</row>
    <row r="239" customFormat="false" ht="12.75" hidden="false" customHeight="false" outlineLevel="0" collapsed="false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customFormat="false" ht="12.75" hidden="false" customHeight="false" outlineLevel="0" collapsed="false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</row>
    <row r="241" customFormat="false" ht="12.75" hidden="false" customHeight="false" outlineLevel="0" collapsed="false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</row>
    <row r="242" customFormat="false" ht="12.75" hidden="false" customHeight="false" outlineLevel="0" collapsed="false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</row>
    <row r="243" customFormat="false" ht="12.75" hidden="false" customHeight="false" outlineLevel="0" collapsed="false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</row>
    <row r="244" customFormat="false" ht="12.75" hidden="false" customHeight="false" outlineLevel="0" collapsed="false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</row>
    <row r="245" customFormat="false" ht="12.75" hidden="false" customHeight="false" outlineLevel="0" collapsed="false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</row>
    <row r="246" customFormat="false" ht="12.75" hidden="false" customHeight="false" outlineLevel="0" collapsed="false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</row>
    <row r="247" customFormat="false" ht="12.75" hidden="false" customHeight="false" outlineLevel="0" collapsed="false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</row>
    <row r="248" customFormat="false" ht="12.75" hidden="false" customHeight="false" outlineLevel="0" collapsed="false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</row>
    <row r="249" customFormat="false" ht="12.75" hidden="false" customHeight="false" outlineLevel="0" collapsed="false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</row>
    <row r="250" customFormat="false" ht="12.75" hidden="false" customHeight="false" outlineLevel="0" collapsed="false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</row>
    <row r="251" customFormat="false" ht="12.75" hidden="false" customHeight="false" outlineLevel="0" collapsed="false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</row>
    <row r="252" customFormat="false" ht="12.75" hidden="false" customHeight="false" outlineLevel="0" collapsed="false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</row>
    <row r="253" customFormat="false" ht="12.75" hidden="false" customHeight="false" outlineLevel="0" collapsed="false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</row>
    <row r="254" customFormat="false" ht="12.75" hidden="false" customHeight="false" outlineLevel="0" collapsed="false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</row>
    <row r="255" customFormat="false" ht="12.75" hidden="false" customHeight="false" outlineLevel="0" collapsed="false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</row>
    <row r="256" customFormat="false" ht="12.75" hidden="false" customHeight="false" outlineLevel="0" collapsed="false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</row>
    <row r="257" customFormat="false" ht="12.75" hidden="false" customHeight="false" outlineLevel="0" collapsed="false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</row>
    <row r="258" customFormat="false" ht="12.75" hidden="false" customHeight="false" outlineLevel="0" collapsed="false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</row>
    <row r="259" customFormat="false" ht="12.75" hidden="false" customHeight="false" outlineLevel="0" collapsed="false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</row>
    <row r="260" customFormat="false" ht="12.75" hidden="false" customHeight="false" outlineLevel="0" collapsed="false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</row>
    <row r="261" customFormat="false" ht="12.75" hidden="false" customHeight="false" outlineLevel="0" collapsed="false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</row>
    <row r="262" customFormat="false" ht="12.75" hidden="false" customHeight="false" outlineLevel="0" collapsed="false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</row>
    <row r="263" customFormat="false" ht="12.75" hidden="false" customHeight="false" outlineLevel="0" collapsed="false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</row>
    <row r="264" customFormat="false" ht="12.75" hidden="false" customHeight="false" outlineLevel="0" collapsed="false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</row>
    <row r="265" customFormat="false" ht="12.75" hidden="false" customHeight="false" outlineLevel="0" collapsed="false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</row>
    <row r="266" customFormat="false" ht="12.75" hidden="false" customHeight="false" outlineLevel="0" collapsed="false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</row>
    <row r="267" customFormat="false" ht="12.75" hidden="false" customHeight="false" outlineLevel="0" collapsed="false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</row>
    <row r="268" customFormat="false" ht="12.75" hidden="false" customHeight="false" outlineLevel="0" collapsed="false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</row>
    <row r="269" customFormat="false" ht="12.75" hidden="false" customHeight="false" outlineLevel="0" collapsed="false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</row>
    <row r="270" customFormat="false" ht="12.75" hidden="false" customHeight="false" outlineLevel="0" collapsed="false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</row>
    <row r="271" customFormat="false" ht="12.75" hidden="false" customHeight="false" outlineLevel="0" collapsed="false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</row>
    <row r="272" customFormat="false" ht="12.75" hidden="false" customHeight="false" outlineLevel="0" collapsed="false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</row>
    <row r="273" customFormat="false" ht="12.75" hidden="false" customHeight="false" outlineLevel="0" collapsed="false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</row>
    <row r="274" customFormat="false" ht="12.75" hidden="false" customHeight="false" outlineLevel="0" collapsed="false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</row>
    <row r="275" customFormat="false" ht="12.75" hidden="false" customHeight="false" outlineLevel="0" collapsed="false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</row>
    <row r="276" customFormat="false" ht="12.75" hidden="false" customHeight="false" outlineLevel="0" collapsed="false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</row>
    <row r="277" customFormat="false" ht="12.75" hidden="false" customHeight="false" outlineLevel="0" collapsed="false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</row>
    <row r="278" customFormat="false" ht="12.75" hidden="false" customHeight="false" outlineLevel="0" collapsed="false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</row>
    <row r="279" customFormat="false" ht="12.75" hidden="false" customHeight="false" outlineLevel="0" collapsed="false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</row>
    <row r="280" customFormat="false" ht="12.75" hidden="false" customHeight="false" outlineLevel="0" collapsed="false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</row>
    <row r="281" customFormat="false" ht="12.75" hidden="false" customHeight="false" outlineLevel="0" collapsed="false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</row>
    <row r="282" customFormat="false" ht="12.75" hidden="false" customHeight="false" outlineLevel="0" collapsed="false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</row>
    <row r="283" customFormat="false" ht="12.75" hidden="false" customHeight="false" outlineLevel="0" collapsed="false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</row>
    <row r="284" customFormat="false" ht="12.75" hidden="false" customHeight="false" outlineLevel="0" collapsed="false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</row>
    <row r="285" customFormat="false" ht="12.75" hidden="false" customHeight="false" outlineLevel="0" collapsed="false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</row>
    <row r="286" customFormat="false" ht="12.75" hidden="false" customHeight="false" outlineLevel="0" collapsed="false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</row>
    <row r="287" customFormat="false" ht="12.75" hidden="false" customHeight="false" outlineLevel="0" collapsed="false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</row>
    <row r="288" customFormat="false" ht="12.75" hidden="false" customHeight="false" outlineLevel="0" collapsed="false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</row>
    <row r="289" customFormat="false" ht="12.75" hidden="false" customHeight="false" outlineLevel="0" collapsed="false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</row>
    <row r="290" customFormat="false" ht="12.75" hidden="false" customHeight="false" outlineLevel="0" collapsed="false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</row>
    <row r="291" customFormat="false" ht="12.75" hidden="false" customHeight="false" outlineLevel="0" collapsed="false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</row>
    <row r="292" customFormat="false" ht="12.75" hidden="false" customHeight="false" outlineLevel="0" collapsed="false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</row>
    <row r="293" customFormat="false" ht="12.75" hidden="false" customHeight="false" outlineLevel="0" collapsed="false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</row>
    <row r="294" customFormat="false" ht="12.75" hidden="false" customHeight="false" outlineLevel="0" collapsed="false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</row>
    <row r="295" customFormat="false" ht="12.75" hidden="false" customHeight="false" outlineLevel="0" collapsed="false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</row>
    <row r="296" customFormat="false" ht="12.75" hidden="false" customHeight="false" outlineLevel="0" collapsed="false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</row>
    <row r="297" customFormat="false" ht="12.75" hidden="false" customHeight="false" outlineLevel="0" collapsed="false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</row>
    <row r="298" customFormat="false" ht="12.75" hidden="false" customHeight="false" outlineLevel="0" collapsed="false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</row>
    <row r="299" customFormat="false" ht="12.75" hidden="false" customHeight="false" outlineLevel="0" collapsed="false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</row>
    <row r="300" customFormat="false" ht="12.75" hidden="false" customHeight="false" outlineLevel="0" collapsed="false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</row>
    <row r="301" customFormat="false" ht="12.75" hidden="false" customHeight="false" outlineLevel="0" collapsed="false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</row>
    <row r="302" customFormat="false" ht="12.75" hidden="false" customHeight="false" outlineLevel="0" collapsed="false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</row>
    <row r="303" customFormat="false" ht="12.75" hidden="false" customHeight="false" outlineLevel="0" collapsed="false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</row>
    <row r="304" customFormat="false" ht="12.75" hidden="false" customHeight="false" outlineLevel="0" collapsed="false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</row>
    <row r="305" customFormat="false" ht="12.75" hidden="false" customHeight="false" outlineLevel="0" collapsed="false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</row>
    <row r="306" customFormat="false" ht="12.75" hidden="false" customHeight="false" outlineLevel="0" collapsed="false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</row>
    <row r="307" customFormat="false" ht="12.75" hidden="false" customHeight="false" outlineLevel="0" collapsed="false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</row>
    <row r="308" customFormat="false" ht="12.75" hidden="false" customHeight="false" outlineLevel="0" collapsed="false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</row>
    <row r="309" customFormat="false" ht="12.75" hidden="false" customHeight="false" outlineLevel="0" collapsed="false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</row>
    <row r="310" customFormat="false" ht="12.75" hidden="false" customHeight="false" outlineLevel="0" collapsed="false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</row>
    <row r="311" customFormat="false" ht="12.75" hidden="false" customHeight="false" outlineLevel="0" collapsed="false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</row>
    <row r="312" customFormat="false" ht="12.75" hidden="false" customHeight="false" outlineLevel="0" collapsed="false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</row>
    <row r="313" customFormat="false" ht="12.75" hidden="false" customHeight="false" outlineLevel="0" collapsed="false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</row>
    <row r="314" customFormat="false" ht="12.75" hidden="false" customHeight="false" outlineLevel="0" collapsed="false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</row>
    <row r="315" customFormat="false" ht="12.75" hidden="false" customHeight="false" outlineLevel="0" collapsed="false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</row>
    <row r="316" customFormat="false" ht="12.75" hidden="false" customHeight="false" outlineLevel="0" collapsed="false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</row>
    <row r="317" customFormat="false" ht="12.75" hidden="false" customHeight="false" outlineLevel="0" collapsed="false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</row>
    <row r="318" customFormat="false" ht="12.75" hidden="false" customHeight="false" outlineLevel="0" collapsed="false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</row>
    <row r="319" customFormat="false" ht="12.75" hidden="false" customHeight="false" outlineLevel="0" collapsed="false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</row>
    <row r="320" customFormat="false" ht="12.75" hidden="false" customHeight="false" outlineLevel="0" collapsed="false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</row>
    <row r="321" customFormat="false" ht="12.75" hidden="false" customHeight="false" outlineLevel="0" collapsed="false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</row>
    <row r="322" customFormat="false" ht="12.75" hidden="false" customHeight="false" outlineLevel="0" collapsed="false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</row>
    <row r="323" customFormat="false" ht="12.75" hidden="false" customHeight="false" outlineLevel="0" collapsed="false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</row>
    <row r="324" customFormat="false" ht="12.75" hidden="false" customHeight="false" outlineLevel="0" collapsed="false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</row>
    <row r="325" customFormat="false" ht="12.75" hidden="false" customHeight="false" outlineLevel="0" collapsed="false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</row>
    <row r="326" customFormat="false" ht="12.75" hidden="false" customHeight="false" outlineLevel="0" collapsed="false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</row>
    <row r="327" customFormat="false" ht="12.75" hidden="false" customHeight="false" outlineLevel="0" collapsed="false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</row>
    <row r="328" customFormat="false" ht="12.75" hidden="false" customHeight="false" outlineLevel="0" collapsed="false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</row>
    <row r="329" customFormat="false" ht="12.75" hidden="false" customHeight="false" outlineLevel="0" collapsed="false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</row>
    <row r="330" customFormat="false" ht="12.75" hidden="false" customHeight="false" outlineLevel="0" collapsed="false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</row>
    <row r="331" customFormat="false" ht="12.75" hidden="false" customHeight="false" outlineLevel="0" collapsed="false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</row>
    <row r="332" customFormat="false" ht="12.75" hidden="false" customHeight="false" outlineLevel="0" collapsed="false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</row>
    <row r="333" customFormat="false" ht="12.75" hidden="false" customHeight="false" outlineLevel="0" collapsed="false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</row>
    <row r="334" customFormat="false" ht="12.75" hidden="false" customHeight="false" outlineLevel="0" collapsed="false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</row>
    <row r="335" customFormat="false" ht="12.75" hidden="false" customHeight="false" outlineLevel="0" collapsed="false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</row>
    <row r="336" customFormat="false" ht="12.75" hidden="false" customHeight="false" outlineLevel="0" collapsed="false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</row>
    <row r="337" customFormat="false" ht="12.75" hidden="false" customHeight="false" outlineLevel="0" collapsed="false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</row>
    <row r="338" customFormat="false" ht="12.75" hidden="false" customHeight="false" outlineLevel="0" collapsed="false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</row>
    <row r="339" customFormat="false" ht="12.75" hidden="false" customHeight="false" outlineLevel="0" collapsed="false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</row>
    <row r="340" customFormat="false" ht="12.75" hidden="false" customHeight="false" outlineLevel="0" collapsed="false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</row>
    <row r="341" customFormat="false" ht="12.75" hidden="false" customHeight="false" outlineLevel="0" collapsed="false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</row>
    <row r="342" customFormat="false" ht="12.75" hidden="false" customHeight="false" outlineLevel="0" collapsed="false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</row>
    <row r="343" customFormat="false" ht="12.75" hidden="false" customHeight="false" outlineLevel="0" collapsed="false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</row>
    <row r="344" customFormat="false" ht="12.75" hidden="false" customHeight="false" outlineLevel="0" collapsed="false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</row>
    <row r="345" customFormat="false" ht="12.75" hidden="false" customHeight="false" outlineLevel="0" collapsed="false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</row>
    <row r="346" customFormat="false" ht="12.75" hidden="false" customHeight="false" outlineLevel="0" collapsed="false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</row>
    <row r="347" customFormat="false" ht="12.75" hidden="false" customHeight="false" outlineLevel="0" collapsed="false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</row>
    <row r="348" customFormat="false" ht="12.75" hidden="false" customHeight="false" outlineLevel="0" collapsed="false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</row>
    <row r="349" customFormat="false" ht="12.75" hidden="false" customHeight="false" outlineLevel="0" collapsed="false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</row>
    <row r="350" customFormat="false" ht="12.75" hidden="false" customHeight="false" outlineLevel="0" collapsed="false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</row>
    <row r="351" customFormat="false" ht="12.75" hidden="false" customHeight="false" outlineLevel="0" collapsed="false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</row>
    <row r="352" customFormat="false" ht="12.75" hidden="false" customHeight="false" outlineLevel="0" collapsed="false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</row>
    <row r="353" customFormat="false" ht="12.75" hidden="false" customHeight="false" outlineLevel="0" collapsed="false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</row>
    <row r="354" customFormat="false" ht="12.75" hidden="false" customHeight="false" outlineLevel="0" collapsed="false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</row>
    <row r="355" customFormat="false" ht="12.75" hidden="false" customHeight="false" outlineLevel="0" collapsed="false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</row>
    <row r="356" customFormat="false" ht="12.75" hidden="false" customHeight="false" outlineLevel="0" collapsed="false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</row>
    <row r="357" customFormat="false" ht="12.75" hidden="false" customHeight="false" outlineLevel="0" collapsed="false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</row>
    <row r="358" customFormat="false" ht="12.75" hidden="false" customHeight="false" outlineLevel="0" collapsed="false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</row>
    <row r="359" customFormat="false" ht="12.75" hidden="false" customHeight="false" outlineLevel="0" collapsed="false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</row>
    <row r="360" customFormat="false" ht="12.75" hidden="false" customHeight="false" outlineLevel="0" collapsed="false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</row>
    <row r="361" customFormat="false" ht="12.75" hidden="false" customHeight="false" outlineLevel="0" collapsed="false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</row>
    <row r="362" customFormat="false" ht="12.75" hidden="false" customHeight="false" outlineLevel="0" collapsed="false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</row>
    <row r="363" customFormat="false" ht="12.75" hidden="false" customHeight="false" outlineLevel="0" collapsed="false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</row>
    <row r="364" customFormat="false" ht="12.75" hidden="false" customHeight="false" outlineLevel="0" collapsed="false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</row>
    <row r="365" customFormat="false" ht="12.75" hidden="false" customHeight="false" outlineLevel="0" collapsed="false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</row>
    <row r="366" customFormat="false" ht="12.75" hidden="false" customHeight="false" outlineLevel="0" collapsed="false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</row>
    <row r="367" customFormat="false" ht="12.75" hidden="false" customHeight="false" outlineLevel="0" collapsed="false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</row>
    <row r="368" customFormat="false" ht="12.75" hidden="false" customHeight="false" outlineLevel="0" collapsed="false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</row>
    <row r="369" customFormat="false" ht="12.75" hidden="false" customHeight="false" outlineLevel="0" collapsed="false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</row>
    <row r="370" customFormat="false" ht="12.75" hidden="false" customHeight="false" outlineLevel="0" collapsed="false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</row>
    <row r="371" customFormat="false" ht="12.75" hidden="false" customHeight="false" outlineLevel="0" collapsed="false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</row>
    <row r="372" customFormat="false" ht="12.75" hidden="false" customHeight="false" outlineLevel="0" collapsed="false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</row>
    <row r="373" customFormat="false" ht="12.75" hidden="false" customHeight="false" outlineLevel="0" collapsed="false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</row>
    <row r="374" customFormat="false" ht="12.75" hidden="false" customHeight="false" outlineLevel="0" collapsed="false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</row>
    <row r="375" customFormat="false" ht="12.75" hidden="false" customHeight="false" outlineLevel="0" collapsed="false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</row>
    <row r="376" customFormat="false" ht="12.75" hidden="false" customHeight="false" outlineLevel="0" collapsed="false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</row>
    <row r="377" customFormat="false" ht="12.75" hidden="false" customHeight="false" outlineLevel="0" collapsed="false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</row>
    <row r="378" customFormat="false" ht="12.75" hidden="false" customHeight="false" outlineLevel="0" collapsed="false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</row>
    <row r="379" customFormat="false" ht="12.75" hidden="false" customHeight="false" outlineLevel="0" collapsed="false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</row>
    <row r="380" customFormat="false" ht="12.75" hidden="false" customHeight="false" outlineLevel="0" collapsed="false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</row>
    <row r="381" customFormat="false" ht="12.75" hidden="false" customHeight="false" outlineLevel="0" collapsed="false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</row>
    <row r="382" customFormat="false" ht="12.75" hidden="false" customHeight="false" outlineLevel="0" collapsed="false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</row>
    <row r="383" customFormat="false" ht="12.75" hidden="false" customHeight="false" outlineLevel="0" collapsed="false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</row>
    <row r="384" customFormat="false" ht="12.75" hidden="false" customHeight="false" outlineLevel="0" collapsed="false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</row>
    <row r="385" customFormat="false" ht="12.75" hidden="false" customHeight="false" outlineLevel="0" collapsed="false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</row>
    <row r="386" customFormat="false" ht="12.75" hidden="false" customHeight="false" outlineLevel="0" collapsed="false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</row>
    <row r="387" customFormat="false" ht="12.75" hidden="false" customHeight="false" outlineLevel="0" collapsed="false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</row>
    <row r="388" customFormat="false" ht="12.75" hidden="false" customHeight="false" outlineLevel="0" collapsed="false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</row>
    <row r="389" customFormat="false" ht="12.75" hidden="false" customHeight="false" outlineLevel="0" collapsed="false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</row>
    <row r="390" customFormat="false" ht="12.75" hidden="false" customHeight="false" outlineLevel="0" collapsed="false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</row>
    <row r="391" customFormat="false" ht="12.75" hidden="false" customHeight="false" outlineLevel="0" collapsed="false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</row>
    <row r="392" customFormat="false" ht="12.75" hidden="false" customHeight="false" outlineLevel="0" collapsed="false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</row>
    <row r="393" customFormat="false" ht="12.75" hidden="false" customHeight="false" outlineLevel="0" collapsed="false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</row>
    <row r="394" customFormat="false" ht="12.75" hidden="false" customHeight="false" outlineLevel="0" collapsed="false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</row>
    <row r="395" customFormat="false" ht="12.75" hidden="false" customHeight="false" outlineLevel="0" collapsed="false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</row>
    <row r="396" customFormat="false" ht="12.75" hidden="false" customHeight="false" outlineLevel="0" collapsed="false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</row>
    <row r="397" customFormat="false" ht="12.75" hidden="false" customHeight="false" outlineLevel="0" collapsed="false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</row>
    <row r="398" customFormat="false" ht="12.75" hidden="false" customHeight="false" outlineLevel="0" collapsed="false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</row>
    <row r="399" customFormat="false" ht="12.75" hidden="false" customHeight="false" outlineLevel="0" collapsed="false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</row>
    <row r="400" customFormat="false" ht="12.75" hidden="false" customHeight="false" outlineLevel="0" collapsed="false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</row>
    <row r="401" customFormat="false" ht="12.75" hidden="false" customHeight="false" outlineLevel="0" collapsed="false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</row>
    <row r="402" customFormat="false" ht="12.75" hidden="false" customHeight="false" outlineLevel="0" collapsed="false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</row>
    <row r="403" customFormat="false" ht="12.75" hidden="false" customHeight="false" outlineLevel="0" collapsed="false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</row>
    <row r="404" customFormat="false" ht="12.75" hidden="false" customHeight="false" outlineLevel="0" collapsed="false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</row>
    <row r="405" customFormat="false" ht="12.75" hidden="false" customHeight="false" outlineLevel="0" collapsed="false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</row>
    <row r="406" customFormat="false" ht="12.75" hidden="false" customHeight="false" outlineLevel="0" collapsed="false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</row>
    <row r="407" customFormat="false" ht="12.75" hidden="false" customHeight="false" outlineLevel="0" collapsed="false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</row>
    <row r="408" customFormat="false" ht="12.75" hidden="false" customHeight="false" outlineLevel="0" collapsed="false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</row>
    <row r="409" customFormat="false" ht="12.75" hidden="false" customHeight="false" outlineLevel="0" collapsed="false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</row>
    <row r="410" customFormat="false" ht="12.75" hidden="false" customHeight="false" outlineLevel="0" collapsed="false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</row>
    <row r="411" customFormat="false" ht="12.75" hidden="false" customHeight="false" outlineLevel="0" collapsed="false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</row>
    <row r="412" customFormat="false" ht="12.75" hidden="false" customHeight="false" outlineLevel="0" collapsed="false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</row>
    <row r="413" customFormat="false" ht="12.75" hidden="false" customHeight="false" outlineLevel="0" collapsed="false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</row>
    <row r="414" customFormat="false" ht="12.75" hidden="false" customHeight="false" outlineLevel="0" collapsed="false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</row>
    <row r="415" customFormat="false" ht="12.75" hidden="false" customHeight="false" outlineLevel="0" collapsed="false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</row>
    <row r="416" customFormat="false" ht="12.75" hidden="false" customHeight="false" outlineLevel="0" collapsed="false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</row>
    <row r="417" customFormat="false" ht="12.75" hidden="false" customHeight="false" outlineLevel="0" collapsed="false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</row>
    <row r="418" customFormat="false" ht="12.75" hidden="false" customHeight="false" outlineLevel="0" collapsed="false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</row>
    <row r="419" customFormat="false" ht="12.75" hidden="false" customHeight="false" outlineLevel="0" collapsed="false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</row>
    <row r="420" customFormat="false" ht="12.75" hidden="false" customHeight="false" outlineLevel="0" collapsed="false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</row>
    <row r="421" customFormat="false" ht="12.75" hidden="false" customHeight="false" outlineLevel="0" collapsed="false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</row>
    <row r="422" customFormat="false" ht="12.75" hidden="false" customHeight="false" outlineLevel="0" collapsed="false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</row>
    <row r="423" customFormat="false" ht="12.75" hidden="false" customHeight="false" outlineLevel="0" collapsed="false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</row>
    <row r="424" customFormat="false" ht="12.75" hidden="false" customHeight="false" outlineLevel="0" collapsed="false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</row>
    <row r="425" customFormat="false" ht="12.75" hidden="false" customHeight="false" outlineLevel="0" collapsed="false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</row>
    <row r="426" customFormat="false" ht="12.75" hidden="false" customHeight="false" outlineLevel="0" collapsed="false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</row>
    <row r="427" customFormat="false" ht="12.75" hidden="false" customHeight="false" outlineLevel="0" collapsed="false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</row>
    <row r="428" customFormat="false" ht="12.75" hidden="false" customHeight="false" outlineLevel="0" collapsed="false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</row>
    <row r="429" customFormat="false" ht="12.75" hidden="false" customHeight="false" outlineLevel="0" collapsed="false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</row>
    <row r="430" customFormat="false" ht="12.75" hidden="false" customHeight="false" outlineLevel="0" collapsed="false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</row>
    <row r="431" customFormat="false" ht="12.75" hidden="false" customHeight="false" outlineLevel="0" collapsed="false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</row>
    <row r="432" customFormat="false" ht="12.75" hidden="false" customHeight="false" outlineLevel="0" collapsed="false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</row>
    <row r="433" customFormat="false" ht="12.75" hidden="false" customHeight="false" outlineLevel="0" collapsed="false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</row>
    <row r="434" customFormat="false" ht="12.75" hidden="false" customHeight="false" outlineLevel="0" collapsed="false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</row>
    <row r="435" customFormat="false" ht="12.75" hidden="false" customHeight="false" outlineLevel="0" collapsed="false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</row>
    <row r="436" customFormat="false" ht="12.75" hidden="false" customHeight="false" outlineLevel="0" collapsed="false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</row>
    <row r="437" customFormat="false" ht="12.75" hidden="false" customHeight="false" outlineLevel="0" collapsed="false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</row>
    <row r="438" customFormat="false" ht="12.75" hidden="false" customHeight="false" outlineLevel="0" collapsed="false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</row>
    <row r="439" customFormat="false" ht="12.75" hidden="false" customHeight="false" outlineLevel="0" collapsed="false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</row>
    <row r="440" customFormat="false" ht="12.75" hidden="false" customHeight="false" outlineLevel="0" collapsed="false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</row>
    <row r="441" customFormat="false" ht="12.75" hidden="false" customHeight="false" outlineLevel="0" collapsed="false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</row>
    <row r="442" customFormat="false" ht="12.75" hidden="false" customHeight="false" outlineLevel="0" collapsed="false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</row>
    <row r="443" customFormat="false" ht="12.75" hidden="false" customHeight="false" outlineLevel="0" collapsed="false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</row>
    <row r="444" customFormat="false" ht="12.75" hidden="false" customHeight="false" outlineLevel="0" collapsed="false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</row>
    <row r="445" customFormat="false" ht="12.75" hidden="false" customHeight="false" outlineLevel="0" collapsed="false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</row>
    <row r="446" customFormat="false" ht="12.75" hidden="false" customHeight="false" outlineLevel="0" collapsed="false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</row>
    <row r="447" customFormat="false" ht="12.75" hidden="false" customHeight="false" outlineLevel="0" collapsed="false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</row>
    <row r="448" customFormat="false" ht="12.75" hidden="false" customHeight="false" outlineLevel="0" collapsed="false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</row>
    <row r="449" customFormat="false" ht="12.75" hidden="false" customHeight="false" outlineLevel="0" collapsed="false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</row>
    <row r="450" customFormat="false" ht="12.75" hidden="false" customHeight="false" outlineLevel="0" collapsed="false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</row>
    <row r="451" customFormat="false" ht="12.75" hidden="false" customHeight="false" outlineLevel="0" collapsed="false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</row>
    <row r="452" customFormat="false" ht="12.75" hidden="false" customHeight="false" outlineLevel="0" collapsed="false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</row>
    <row r="453" customFormat="false" ht="12.75" hidden="false" customHeight="false" outlineLevel="0" collapsed="false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</row>
    <row r="454" customFormat="false" ht="12.75" hidden="false" customHeight="false" outlineLevel="0" collapsed="false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</row>
    <row r="455" customFormat="false" ht="12.75" hidden="false" customHeight="false" outlineLevel="0" collapsed="false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</row>
    <row r="456" customFormat="false" ht="12.75" hidden="false" customHeight="false" outlineLevel="0" collapsed="false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</row>
    <row r="457" customFormat="false" ht="12.75" hidden="false" customHeight="false" outlineLevel="0" collapsed="false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</row>
    <row r="458" customFormat="false" ht="12.75" hidden="false" customHeight="false" outlineLevel="0" collapsed="false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</row>
    <row r="459" customFormat="false" ht="12.75" hidden="false" customHeight="false" outlineLevel="0" collapsed="false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</row>
    <row r="460" customFormat="false" ht="12.75" hidden="false" customHeight="false" outlineLevel="0" collapsed="false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</row>
    <row r="461" customFormat="false" ht="12.75" hidden="false" customHeight="false" outlineLevel="0" collapsed="false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</row>
    <row r="462" customFormat="false" ht="12.75" hidden="false" customHeight="false" outlineLevel="0" collapsed="false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</row>
    <row r="463" customFormat="false" ht="12.75" hidden="false" customHeight="false" outlineLevel="0" collapsed="false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</row>
    <row r="464" customFormat="false" ht="12.75" hidden="false" customHeight="false" outlineLevel="0" collapsed="false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</row>
    <row r="465" customFormat="false" ht="12.75" hidden="false" customHeight="false" outlineLevel="0" collapsed="false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</row>
    <row r="466" customFormat="false" ht="12.75" hidden="false" customHeight="false" outlineLevel="0" collapsed="false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</row>
    <row r="467" customFormat="false" ht="12.75" hidden="false" customHeight="false" outlineLevel="0" collapsed="false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</row>
    <row r="468" customFormat="false" ht="12.75" hidden="false" customHeight="false" outlineLevel="0" collapsed="false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</row>
    <row r="469" customFormat="false" ht="12.75" hidden="false" customHeight="false" outlineLevel="0" collapsed="false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</row>
    <row r="470" customFormat="false" ht="12.75" hidden="false" customHeight="false" outlineLevel="0" collapsed="false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</row>
    <row r="471" customFormat="false" ht="12.75" hidden="false" customHeight="false" outlineLevel="0" collapsed="false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</row>
    <row r="472" customFormat="false" ht="12.75" hidden="false" customHeight="false" outlineLevel="0" collapsed="false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</row>
    <row r="473" customFormat="false" ht="12.75" hidden="false" customHeight="false" outlineLevel="0" collapsed="false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</row>
    <row r="474" customFormat="false" ht="12.75" hidden="false" customHeight="false" outlineLevel="0" collapsed="false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</row>
    <row r="475" customFormat="false" ht="12.75" hidden="false" customHeight="false" outlineLevel="0" collapsed="false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</row>
    <row r="476" customFormat="false" ht="12.75" hidden="false" customHeight="false" outlineLevel="0" collapsed="false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</row>
    <row r="477" customFormat="false" ht="12.75" hidden="false" customHeight="false" outlineLevel="0" collapsed="false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</row>
    <row r="478" customFormat="false" ht="12.75" hidden="false" customHeight="false" outlineLevel="0" collapsed="false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</row>
    <row r="479" customFormat="false" ht="12.75" hidden="false" customHeight="false" outlineLevel="0" collapsed="false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</row>
    <row r="480" customFormat="false" ht="12.75" hidden="false" customHeight="false" outlineLevel="0" collapsed="false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</row>
    <row r="481" customFormat="false" ht="12.75" hidden="false" customHeight="false" outlineLevel="0" collapsed="false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</row>
    <row r="482" customFormat="false" ht="12.75" hidden="false" customHeight="false" outlineLevel="0" collapsed="false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</row>
    <row r="483" customFormat="false" ht="12.75" hidden="false" customHeight="false" outlineLevel="0" collapsed="false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</row>
    <row r="484" customFormat="false" ht="12.75" hidden="false" customHeight="false" outlineLevel="0" collapsed="false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</row>
    <row r="485" customFormat="false" ht="12.75" hidden="false" customHeight="false" outlineLevel="0" collapsed="false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</row>
    <row r="486" customFormat="false" ht="12.75" hidden="false" customHeight="false" outlineLevel="0" collapsed="false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</row>
    <row r="487" customFormat="false" ht="12.75" hidden="false" customHeight="false" outlineLevel="0" collapsed="false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</row>
    <row r="488" customFormat="false" ht="12.75" hidden="false" customHeight="false" outlineLevel="0" collapsed="false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</row>
    <row r="489" customFormat="false" ht="12.75" hidden="false" customHeight="false" outlineLevel="0" collapsed="false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</row>
    <row r="490" customFormat="false" ht="12.75" hidden="false" customHeight="false" outlineLevel="0" collapsed="false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</row>
    <row r="491" customFormat="false" ht="12.75" hidden="false" customHeight="false" outlineLevel="0" collapsed="false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</row>
    <row r="492" customFormat="false" ht="12.75" hidden="false" customHeight="false" outlineLevel="0" collapsed="false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</row>
    <row r="493" customFormat="false" ht="12.75" hidden="false" customHeight="false" outlineLevel="0" collapsed="false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</row>
    <row r="494" customFormat="false" ht="12.75" hidden="false" customHeight="false" outlineLevel="0" collapsed="false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</row>
    <row r="495" customFormat="false" ht="12.75" hidden="false" customHeight="false" outlineLevel="0" collapsed="false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</row>
    <row r="496" customFormat="false" ht="12.75" hidden="false" customHeight="false" outlineLevel="0" collapsed="false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</row>
    <row r="497" customFormat="false" ht="12.75" hidden="false" customHeight="false" outlineLevel="0" collapsed="false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</row>
    <row r="498" customFormat="false" ht="12.75" hidden="false" customHeight="false" outlineLevel="0" collapsed="false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</row>
    <row r="499" customFormat="false" ht="12.75" hidden="false" customHeight="false" outlineLevel="0" collapsed="false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</row>
    <row r="500" customFormat="false" ht="12.75" hidden="false" customHeight="false" outlineLevel="0" collapsed="false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</row>
    <row r="501" customFormat="false" ht="12.75" hidden="false" customHeight="false" outlineLevel="0" collapsed="false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</row>
    <row r="502" customFormat="false" ht="12.75" hidden="false" customHeight="false" outlineLevel="0" collapsed="false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</row>
    <row r="503" customFormat="false" ht="12.75" hidden="false" customHeight="false" outlineLevel="0" collapsed="false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</row>
    <row r="504" customFormat="false" ht="12.75" hidden="false" customHeight="false" outlineLevel="0" collapsed="false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</row>
    <row r="505" customFormat="false" ht="12.75" hidden="false" customHeight="false" outlineLevel="0" collapsed="false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</row>
    <row r="506" customFormat="false" ht="12.75" hidden="false" customHeight="false" outlineLevel="0" collapsed="false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</row>
    <row r="507" customFormat="false" ht="12.75" hidden="false" customHeight="false" outlineLevel="0" collapsed="false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</row>
    <row r="508" customFormat="false" ht="12.75" hidden="false" customHeight="false" outlineLevel="0" collapsed="false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</row>
    <row r="509" customFormat="false" ht="12.75" hidden="false" customHeight="false" outlineLevel="0" collapsed="false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</row>
    <row r="510" customFormat="false" ht="12.75" hidden="false" customHeight="false" outlineLevel="0" collapsed="false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</row>
    <row r="511" customFormat="false" ht="12.75" hidden="false" customHeight="false" outlineLevel="0" collapsed="false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</row>
    <row r="512" customFormat="false" ht="12.75" hidden="false" customHeight="false" outlineLevel="0" collapsed="false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</row>
    <row r="513" customFormat="false" ht="12.75" hidden="false" customHeight="false" outlineLevel="0" collapsed="false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</row>
    <row r="514" customFormat="false" ht="12.75" hidden="false" customHeight="false" outlineLevel="0" collapsed="false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</row>
    <row r="515" customFormat="false" ht="12.75" hidden="false" customHeight="false" outlineLevel="0" collapsed="false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</row>
    <row r="516" customFormat="false" ht="12.75" hidden="false" customHeight="false" outlineLevel="0" collapsed="false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</row>
    <row r="517" customFormat="false" ht="12.75" hidden="false" customHeight="false" outlineLevel="0" collapsed="false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</row>
    <row r="518" customFormat="false" ht="12.75" hidden="false" customHeight="false" outlineLevel="0" collapsed="false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</row>
    <row r="519" customFormat="false" ht="12.75" hidden="false" customHeight="false" outlineLevel="0" collapsed="false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</row>
    <row r="520" customFormat="false" ht="12.75" hidden="false" customHeight="false" outlineLevel="0" collapsed="false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</row>
    <row r="521" customFormat="false" ht="12.75" hidden="false" customHeight="false" outlineLevel="0" collapsed="false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</row>
    <row r="522" customFormat="false" ht="12.75" hidden="false" customHeight="false" outlineLevel="0" collapsed="false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</row>
    <row r="523" customFormat="false" ht="12.75" hidden="false" customHeight="false" outlineLevel="0" collapsed="false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</row>
    <row r="524" customFormat="false" ht="12.75" hidden="false" customHeight="false" outlineLevel="0" collapsed="false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</row>
    <row r="525" customFormat="false" ht="12.75" hidden="false" customHeight="false" outlineLevel="0" collapsed="false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</row>
    <row r="526" customFormat="false" ht="12.75" hidden="false" customHeight="false" outlineLevel="0" collapsed="false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</row>
    <row r="527" customFormat="false" ht="12.75" hidden="false" customHeight="false" outlineLevel="0" collapsed="false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</row>
    <row r="528" customFormat="false" ht="12.75" hidden="false" customHeight="false" outlineLevel="0" collapsed="false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</row>
    <row r="529" customFormat="false" ht="12.75" hidden="false" customHeight="false" outlineLevel="0" collapsed="false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</row>
    <row r="530" customFormat="false" ht="12.75" hidden="false" customHeight="false" outlineLevel="0" collapsed="false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</row>
    <row r="531" customFormat="false" ht="12.75" hidden="false" customHeight="false" outlineLevel="0" collapsed="false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</row>
    <row r="532" customFormat="false" ht="12.75" hidden="false" customHeight="false" outlineLevel="0" collapsed="false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</row>
    <row r="533" customFormat="false" ht="12.75" hidden="false" customHeight="false" outlineLevel="0" collapsed="false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</row>
    <row r="534" customFormat="false" ht="12.75" hidden="false" customHeight="false" outlineLevel="0" collapsed="false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</row>
    <row r="535" customFormat="false" ht="12.75" hidden="false" customHeight="false" outlineLevel="0" collapsed="false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</row>
    <row r="536" customFormat="false" ht="12.75" hidden="false" customHeight="false" outlineLevel="0" collapsed="false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</row>
    <row r="537" customFormat="false" ht="12.75" hidden="false" customHeight="false" outlineLevel="0" collapsed="false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</row>
    <row r="538" customFormat="false" ht="12.75" hidden="false" customHeight="false" outlineLevel="0" collapsed="false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</row>
    <row r="539" customFormat="false" ht="12.75" hidden="false" customHeight="false" outlineLevel="0" collapsed="false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</row>
    <row r="540" customFormat="false" ht="12.75" hidden="false" customHeight="false" outlineLevel="0" collapsed="false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</row>
    <row r="541" customFormat="false" ht="12.75" hidden="false" customHeight="false" outlineLevel="0" collapsed="false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</row>
    <row r="542" customFormat="false" ht="12.75" hidden="false" customHeight="false" outlineLevel="0" collapsed="false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</row>
    <row r="543" customFormat="false" ht="12.75" hidden="false" customHeight="false" outlineLevel="0" collapsed="false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</row>
    <row r="544" customFormat="false" ht="12.75" hidden="false" customHeight="false" outlineLevel="0" collapsed="false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</row>
    <row r="545" customFormat="false" ht="12.75" hidden="false" customHeight="false" outlineLevel="0" collapsed="false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</row>
    <row r="546" customFormat="false" ht="12.75" hidden="false" customHeight="false" outlineLevel="0" collapsed="false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</row>
    <row r="547" customFormat="false" ht="12.75" hidden="false" customHeight="false" outlineLevel="0" collapsed="false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</row>
    <row r="548" customFormat="false" ht="12.75" hidden="false" customHeight="false" outlineLevel="0" collapsed="false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</row>
    <row r="549" customFormat="false" ht="12.75" hidden="false" customHeight="false" outlineLevel="0" collapsed="false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</row>
    <row r="550" customFormat="false" ht="12.75" hidden="false" customHeight="false" outlineLevel="0" collapsed="false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</row>
    <row r="551" customFormat="false" ht="12.75" hidden="false" customHeight="false" outlineLevel="0" collapsed="false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</row>
    <row r="552" customFormat="false" ht="12.75" hidden="false" customHeight="false" outlineLevel="0" collapsed="false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</row>
    <row r="553" customFormat="false" ht="12.75" hidden="false" customHeight="false" outlineLevel="0" collapsed="false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</row>
    <row r="554" customFormat="false" ht="12.75" hidden="false" customHeight="false" outlineLevel="0" collapsed="false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</row>
    <row r="555" customFormat="false" ht="12.75" hidden="false" customHeight="false" outlineLevel="0" collapsed="false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</row>
    <row r="556" customFormat="false" ht="12.75" hidden="false" customHeight="false" outlineLevel="0" collapsed="false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</row>
    <row r="557" customFormat="false" ht="12.75" hidden="false" customHeight="false" outlineLevel="0" collapsed="false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</row>
    <row r="558" customFormat="false" ht="12.75" hidden="false" customHeight="false" outlineLevel="0" collapsed="false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</row>
    <row r="559" customFormat="false" ht="12.75" hidden="false" customHeight="false" outlineLevel="0" collapsed="false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</row>
    <row r="560" customFormat="false" ht="12.75" hidden="false" customHeight="false" outlineLevel="0" collapsed="false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</row>
    <row r="561" customFormat="false" ht="12.75" hidden="false" customHeight="false" outlineLevel="0" collapsed="false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</row>
    <row r="562" customFormat="false" ht="12.75" hidden="false" customHeight="false" outlineLevel="0" collapsed="false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</row>
    <row r="563" customFormat="false" ht="12.75" hidden="false" customHeight="false" outlineLevel="0" collapsed="false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</row>
    <row r="564" customFormat="false" ht="12.75" hidden="false" customHeight="false" outlineLevel="0" collapsed="false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</row>
    <row r="565" customFormat="false" ht="12.75" hidden="false" customHeight="false" outlineLevel="0" collapsed="false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</row>
    <row r="566" customFormat="false" ht="12.75" hidden="false" customHeight="false" outlineLevel="0" collapsed="false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</row>
    <row r="567" customFormat="false" ht="12.75" hidden="false" customHeight="false" outlineLevel="0" collapsed="false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</row>
    <row r="568" customFormat="false" ht="12.75" hidden="false" customHeight="false" outlineLevel="0" collapsed="false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</row>
    <row r="569" customFormat="false" ht="12.75" hidden="false" customHeight="false" outlineLevel="0" collapsed="false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</row>
    <row r="570" customFormat="false" ht="12.75" hidden="false" customHeight="false" outlineLevel="0" collapsed="false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</row>
    <row r="571" customFormat="false" ht="12.75" hidden="false" customHeight="false" outlineLevel="0" collapsed="false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</row>
    <row r="572" customFormat="false" ht="12.75" hidden="false" customHeight="false" outlineLevel="0" collapsed="false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</row>
    <row r="573" customFormat="false" ht="12.75" hidden="false" customHeight="false" outlineLevel="0" collapsed="false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</row>
    <row r="574" customFormat="false" ht="12.75" hidden="false" customHeight="false" outlineLevel="0" collapsed="false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</row>
    <row r="575" customFormat="false" ht="12.75" hidden="false" customHeight="false" outlineLevel="0" collapsed="false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</row>
    <row r="576" customFormat="false" ht="12.75" hidden="false" customHeight="false" outlineLevel="0" collapsed="false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</row>
    <row r="577" customFormat="false" ht="12.75" hidden="false" customHeight="false" outlineLevel="0" collapsed="false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</row>
    <row r="578" customFormat="false" ht="12.75" hidden="false" customHeight="false" outlineLevel="0" collapsed="false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</row>
    <row r="579" customFormat="false" ht="12.75" hidden="false" customHeight="false" outlineLevel="0" collapsed="false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</row>
    <row r="580" customFormat="false" ht="12.75" hidden="false" customHeight="false" outlineLevel="0" collapsed="false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</row>
    <row r="581" customFormat="false" ht="12.75" hidden="false" customHeight="false" outlineLevel="0" collapsed="false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</row>
    <row r="582" customFormat="false" ht="12.75" hidden="false" customHeight="false" outlineLevel="0" collapsed="false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</row>
    <row r="583" customFormat="false" ht="12.75" hidden="false" customHeight="false" outlineLevel="0" collapsed="false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</row>
    <row r="584" customFormat="false" ht="12.75" hidden="false" customHeight="false" outlineLevel="0" collapsed="false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</row>
    <row r="585" customFormat="false" ht="12.75" hidden="false" customHeight="false" outlineLevel="0" collapsed="false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</row>
    <row r="586" customFormat="false" ht="12.75" hidden="false" customHeight="false" outlineLevel="0" collapsed="false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</row>
    <row r="587" customFormat="false" ht="12.75" hidden="false" customHeight="false" outlineLevel="0" collapsed="false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</row>
    <row r="588" customFormat="false" ht="12.75" hidden="false" customHeight="false" outlineLevel="0" collapsed="false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</row>
    <row r="589" customFormat="false" ht="12.75" hidden="false" customHeight="false" outlineLevel="0" collapsed="false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</row>
    <row r="590" customFormat="false" ht="12.75" hidden="false" customHeight="false" outlineLevel="0" collapsed="false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</row>
    <row r="591" customFormat="false" ht="12.75" hidden="false" customHeight="false" outlineLevel="0" collapsed="false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</row>
    <row r="592" customFormat="false" ht="12.75" hidden="false" customHeight="false" outlineLevel="0" collapsed="false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</row>
    <row r="593" customFormat="false" ht="12.75" hidden="false" customHeight="false" outlineLevel="0" collapsed="false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</row>
    <row r="594" customFormat="false" ht="12.75" hidden="false" customHeight="false" outlineLevel="0" collapsed="false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</row>
    <row r="595" customFormat="false" ht="12.75" hidden="false" customHeight="false" outlineLevel="0" collapsed="false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</row>
    <row r="596" customFormat="false" ht="12.75" hidden="false" customHeight="false" outlineLevel="0" collapsed="false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</row>
    <row r="597" customFormat="false" ht="12.75" hidden="false" customHeight="false" outlineLevel="0" collapsed="false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</row>
    <row r="598" customFormat="false" ht="12.75" hidden="false" customHeight="false" outlineLevel="0" collapsed="false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</row>
    <row r="599" customFormat="false" ht="12.75" hidden="false" customHeight="false" outlineLevel="0" collapsed="false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</row>
    <row r="600" customFormat="false" ht="12.75" hidden="false" customHeight="false" outlineLevel="0" collapsed="false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</row>
    <row r="601" customFormat="false" ht="12.75" hidden="false" customHeight="false" outlineLevel="0" collapsed="false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</row>
    <row r="602" customFormat="false" ht="12.75" hidden="false" customHeight="false" outlineLevel="0" collapsed="false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</row>
    <row r="603" customFormat="false" ht="12.75" hidden="false" customHeight="false" outlineLevel="0" collapsed="false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</row>
    <row r="604" customFormat="false" ht="12.75" hidden="false" customHeight="false" outlineLevel="0" collapsed="false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</row>
    <row r="605" customFormat="false" ht="12.75" hidden="false" customHeight="false" outlineLevel="0" collapsed="false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</row>
    <row r="606" customFormat="false" ht="12.75" hidden="false" customHeight="false" outlineLevel="0" collapsed="false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</row>
    <row r="607" customFormat="false" ht="12.75" hidden="false" customHeight="false" outlineLevel="0" collapsed="false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</row>
    <row r="608" customFormat="false" ht="12.75" hidden="false" customHeight="false" outlineLevel="0" collapsed="false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</row>
    <row r="609" customFormat="false" ht="12.75" hidden="false" customHeight="false" outlineLevel="0" collapsed="false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</row>
    <row r="610" customFormat="false" ht="12.75" hidden="false" customHeight="false" outlineLevel="0" collapsed="false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</row>
    <row r="611" customFormat="false" ht="12.75" hidden="false" customHeight="false" outlineLevel="0" collapsed="false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</row>
    <row r="612" customFormat="false" ht="12.75" hidden="false" customHeight="false" outlineLevel="0" collapsed="false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</row>
    <row r="613" customFormat="false" ht="12.75" hidden="false" customHeight="false" outlineLevel="0" collapsed="false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</row>
    <row r="614" customFormat="false" ht="12.75" hidden="false" customHeight="false" outlineLevel="0" collapsed="false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</row>
    <row r="615" customFormat="false" ht="12.75" hidden="false" customHeight="false" outlineLevel="0" collapsed="false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</row>
    <row r="616" customFormat="false" ht="12.75" hidden="false" customHeight="false" outlineLevel="0" collapsed="false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</row>
    <row r="617" customFormat="false" ht="12.75" hidden="false" customHeight="false" outlineLevel="0" collapsed="false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</row>
    <row r="618" customFormat="false" ht="12.75" hidden="false" customHeight="false" outlineLevel="0" collapsed="false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</row>
    <row r="619" customFormat="false" ht="12.75" hidden="false" customHeight="false" outlineLevel="0" collapsed="false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</row>
    <row r="620" customFormat="false" ht="12.75" hidden="false" customHeight="false" outlineLevel="0" collapsed="false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</row>
    <row r="621" customFormat="false" ht="12.75" hidden="false" customHeight="false" outlineLevel="0" collapsed="false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</row>
    <row r="622" customFormat="false" ht="12.75" hidden="false" customHeight="false" outlineLevel="0" collapsed="false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</row>
    <row r="623" customFormat="false" ht="12.75" hidden="false" customHeight="false" outlineLevel="0" collapsed="false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</row>
    <row r="624" customFormat="false" ht="12.75" hidden="false" customHeight="false" outlineLevel="0" collapsed="false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</row>
    <row r="625" customFormat="false" ht="12.75" hidden="false" customHeight="false" outlineLevel="0" collapsed="false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</row>
    <row r="626" customFormat="false" ht="12.75" hidden="false" customHeight="false" outlineLevel="0" collapsed="false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</row>
    <row r="627" customFormat="false" ht="12.75" hidden="false" customHeight="false" outlineLevel="0" collapsed="false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</row>
    <row r="628" customFormat="false" ht="12.75" hidden="false" customHeight="false" outlineLevel="0" collapsed="false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</row>
    <row r="629" customFormat="false" ht="12.75" hidden="false" customHeight="false" outlineLevel="0" collapsed="false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</row>
    <row r="630" customFormat="false" ht="12.75" hidden="false" customHeight="false" outlineLevel="0" collapsed="false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</row>
    <row r="631" customFormat="false" ht="12.75" hidden="false" customHeight="false" outlineLevel="0" collapsed="false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</row>
    <row r="632" customFormat="false" ht="12.75" hidden="false" customHeight="false" outlineLevel="0" collapsed="false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</row>
    <row r="633" customFormat="false" ht="12.75" hidden="false" customHeight="false" outlineLevel="0" collapsed="false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</row>
    <row r="634" customFormat="false" ht="12.75" hidden="false" customHeight="false" outlineLevel="0" collapsed="false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</row>
    <row r="635" customFormat="false" ht="12.75" hidden="false" customHeight="false" outlineLevel="0" collapsed="false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</row>
    <row r="636" customFormat="false" ht="12.75" hidden="false" customHeight="false" outlineLevel="0" collapsed="false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</row>
    <row r="637" customFormat="false" ht="12.75" hidden="false" customHeight="false" outlineLevel="0" collapsed="false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</row>
    <row r="638" customFormat="false" ht="12.75" hidden="false" customHeight="false" outlineLevel="0" collapsed="false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</row>
    <row r="639" customFormat="false" ht="12.75" hidden="false" customHeight="false" outlineLevel="0" collapsed="false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</row>
    <row r="640" customFormat="false" ht="12.75" hidden="false" customHeight="false" outlineLevel="0" collapsed="false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</row>
    <row r="641" customFormat="false" ht="12.75" hidden="false" customHeight="false" outlineLevel="0" collapsed="false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</row>
    <row r="642" customFormat="false" ht="12.75" hidden="false" customHeight="false" outlineLevel="0" collapsed="false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</row>
    <row r="643" customFormat="false" ht="12.75" hidden="false" customHeight="false" outlineLevel="0" collapsed="false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</row>
    <row r="644" customFormat="false" ht="12.75" hidden="false" customHeight="false" outlineLevel="0" collapsed="false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</row>
    <row r="645" customFormat="false" ht="12.75" hidden="false" customHeight="false" outlineLevel="0" collapsed="false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</row>
    <row r="646" customFormat="false" ht="12.75" hidden="false" customHeight="false" outlineLevel="0" collapsed="false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</row>
    <row r="647" customFormat="false" ht="12.75" hidden="false" customHeight="false" outlineLevel="0" collapsed="false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</row>
    <row r="648" customFormat="false" ht="12.75" hidden="false" customHeight="false" outlineLevel="0" collapsed="false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</row>
    <row r="649" customFormat="false" ht="12.75" hidden="false" customHeight="false" outlineLevel="0" collapsed="false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</row>
    <row r="650" customFormat="false" ht="12.75" hidden="false" customHeight="false" outlineLevel="0" collapsed="false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</row>
    <row r="651" customFormat="false" ht="12.75" hidden="false" customHeight="false" outlineLevel="0" collapsed="false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</row>
    <row r="652" customFormat="false" ht="12.75" hidden="false" customHeight="false" outlineLevel="0" collapsed="false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</row>
    <row r="653" customFormat="false" ht="12.75" hidden="false" customHeight="false" outlineLevel="0" collapsed="false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</row>
    <row r="654" customFormat="false" ht="12.75" hidden="false" customHeight="false" outlineLevel="0" collapsed="false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</row>
    <row r="655" customFormat="false" ht="12.75" hidden="false" customHeight="false" outlineLevel="0" collapsed="false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</row>
    <row r="656" customFormat="false" ht="12.75" hidden="false" customHeight="false" outlineLevel="0" collapsed="false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</row>
    <row r="657" customFormat="false" ht="12.75" hidden="false" customHeight="false" outlineLevel="0" collapsed="false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</row>
    <row r="658" customFormat="false" ht="12.75" hidden="false" customHeight="false" outlineLevel="0" collapsed="false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</row>
    <row r="659" customFormat="false" ht="12.75" hidden="false" customHeight="false" outlineLevel="0" collapsed="false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</row>
    <row r="660" customFormat="false" ht="12.75" hidden="false" customHeight="false" outlineLevel="0" collapsed="false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</row>
    <row r="661" customFormat="false" ht="12.75" hidden="false" customHeight="false" outlineLevel="0" collapsed="false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</row>
    <row r="662" customFormat="false" ht="12.75" hidden="false" customHeight="false" outlineLevel="0" collapsed="false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</row>
    <row r="663" customFormat="false" ht="12.75" hidden="false" customHeight="false" outlineLevel="0" collapsed="false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</row>
    <row r="664" customFormat="false" ht="12.75" hidden="false" customHeight="false" outlineLevel="0" collapsed="false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</row>
    <row r="665" customFormat="false" ht="12.75" hidden="false" customHeight="false" outlineLevel="0" collapsed="false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</row>
    <row r="666" customFormat="false" ht="12.75" hidden="false" customHeight="false" outlineLevel="0" collapsed="false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</row>
    <row r="667" customFormat="false" ht="12.75" hidden="false" customHeight="false" outlineLevel="0" collapsed="false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</row>
    <row r="668" customFormat="false" ht="12.75" hidden="false" customHeight="false" outlineLevel="0" collapsed="false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</row>
    <row r="669" customFormat="false" ht="12.75" hidden="false" customHeight="false" outlineLevel="0" collapsed="false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</row>
    <row r="670" customFormat="false" ht="12.75" hidden="false" customHeight="false" outlineLevel="0" collapsed="false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</row>
    <row r="671" customFormat="false" ht="12.75" hidden="false" customHeight="false" outlineLevel="0" collapsed="false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</row>
    <row r="672" customFormat="false" ht="12.75" hidden="false" customHeight="false" outlineLevel="0" collapsed="false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</row>
    <row r="673" customFormat="false" ht="12.75" hidden="false" customHeight="false" outlineLevel="0" collapsed="false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</row>
    <row r="674" customFormat="false" ht="12.75" hidden="false" customHeight="false" outlineLevel="0" collapsed="false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</row>
    <row r="675" customFormat="false" ht="12.75" hidden="false" customHeight="false" outlineLevel="0" collapsed="false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</row>
    <row r="676" customFormat="false" ht="12.75" hidden="false" customHeight="false" outlineLevel="0" collapsed="false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</row>
    <row r="677" customFormat="false" ht="12.75" hidden="false" customHeight="false" outlineLevel="0" collapsed="false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</row>
    <row r="678" customFormat="false" ht="12.75" hidden="false" customHeight="false" outlineLevel="0" collapsed="false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</row>
    <row r="679" customFormat="false" ht="12.75" hidden="false" customHeight="false" outlineLevel="0" collapsed="false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</row>
    <row r="680" customFormat="false" ht="12.75" hidden="false" customHeight="false" outlineLevel="0" collapsed="false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</row>
    <row r="681" customFormat="false" ht="12.75" hidden="false" customHeight="false" outlineLevel="0" collapsed="false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</row>
    <row r="682" customFormat="false" ht="12.75" hidden="false" customHeight="false" outlineLevel="0" collapsed="false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</row>
    <row r="683" customFormat="false" ht="12.75" hidden="false" customHeight="false" outlineLevel="0" collapsed="false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</row>
    <row r="684" customFormat="false" ht="12.75" hidden="false" customHeight="false" outlineLevel="0" collapsed="false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</row>
    <row r="685" customFormat="false" ht="12.75" hidden="false" customHeight="false" outlineLevel="0" collapsed="false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</row>
    <row r="686" customFormat="false" ht="12.75" hidden="false" customHeight="false" outlineLevel="0" collapsed="false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</row>
    <row r="687" customFormat="false" ht="12.75" hidden="false" customHeight="false" outlineLevel="0" collapsed="false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</row>
    <row r="688" customFormat="false" ht="12.75" hidden="false" customHeight="false" outlineLevel="0" collapsed="false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</row>
    <row r="689" customFormat="false" ht="12.75" hidden="false" customHeight="false" outlineLevel="0" collapsed="false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</row>
    <row r="690" customFormat="false" ht="12.75" hidden="false" customHeight="false" outlineLevel="0" collapsed="false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</row>
    <row r="691" customFormat="false" ht="12.75" hidden="false" customHeight="false" outlineLevel="0" collapsed="false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</row>
    <row r="692" customFormat="false" ht="12.75" hidden="false" customHeight="false" outlineLevel="0" collapsed="false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</row>
    <row r="693" customFormat="false" ht="12.75" hidden="false" customHeight="false" outlineLevel="0" collapsed="false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</row>
    <row r="694" customFormat="false" ht="12.75" hidden="false" customHeight="false" outlineLevel="0" collapsed="false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</row>
    <row r="695" customFormat="false" ht="12.75" hidden="false" customHeight="false" outlineLevel="0" collapsed="false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</row>
    <row r="696" customFormat="false" ht="12.75" hidden="false" customHeight="false" outlineLevel="0" collapsed="false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</row>
    <row r="697" customFormat="false" ht="12.75" hidden="false" customHeight="false" outlineLevel="0" collapsed="false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</row>
    <row r="698" customFormat="false" ht="12.75" hidden="false" customHeight="false" outlineLevel="0" collapsed="false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</row>
    <row r="699" customFormat="false" ht="12.75" hidden="false" customHeight="false" outlineLevel="0" collapsed="false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</row>
    <row r="700" customFormat="false" ht="12.75" hidden="false" customHeight="false" outlineLevel="0" collapsed="false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</row>
    <row r="701" customFormat="false" ht="12.75" hidden="false" customHeight="false" outlineLevel="0" collapsed="false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</row>
    <row r="702" customFormat="false" ht="12.75" hidden="false" customHeight="false" outlineLevel="0" collapsed="false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</row>
    <row r="703" customFormat="false" ht="12.75" hidden="false" customHeight="false" outlineLevel="0" collapsed="false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</row>
    <row r="704" customFormat="false" ht="12.75" hidden="false" customHeight="false" outlineLevel="0" collapsed="false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</row>
    <row r="705" customFormat="false" ht="12.75" hidden="false" customHeight="false" outlineLevel="0" collapsed="false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</row>
    <row r="706" customFormat="false" ht="12.75" hidden="false" customHeight="false" outlineLevel="0" collapsed="false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</row>
    <row r="707" customFormat="false" ht="12.75" hidden="false" customHeight="false" outlineLevel="0" collapsed="false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</row>
    <row r="708" customFormat="false" ht="12.75" hidden="false" customHeight="false" outlineLevel="0" collapsed="false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</row>
    <row r="709" customFormat="false" ht="12.75" hidden="false" customHeight="false" outlineLevel="0" collapsed="false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</row>
    <row r="710" customFormat="false" ht="12.75" hidden="false" customHeight="false" outlineLevel="0" collapsed="false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</row>
    <row r="711" customFormat="false" ht="12.75" hidden="false" customHeight="false" outlineLevel="0" collapsed="false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</row>
    <row r="712" customFormat="false" ht="12.75" hidden="false" customHeight="false" outlineLevel="0" collapsed="false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</row>
    <row r="713" customFormat="false" ht="12.75" hidden="false" customHeight="false" outlineLevel="0" collapsed="false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</row>
    <row r="714" customFormat="false" ht="12.75" hidden="false" customHeight="false" outlineLevel="0" collapsed="false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</row>
    <row r="715" customFormat="false" ht="12.75" hidden="false" customHeight="false" outlineLevel="0" collapsed="false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</row>
    <row r="716" customFormat="false" ht="12.75" hidden="false" customHeight="false" outlineLevel="0" collapsed="false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</row>
    <row r="717" customFormat="false" ht="12.75" hidden="false" customHeight="false" outlineLevel="0" collapsed="false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</row>
    <row r="718" customFormat="false" ht="12.75" hidden="false" customHeight="false" outlineLevel="0" collapsed="false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</row>
    <row r="719" customFormat="false" ht="12.75" hidden="false" customHeight="false" outlineLevel="0" collapsed="false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</row>
    <row r="720" customFormat="false" ht="12.75" hidden="false" customHeight="false" outlineLevel="0" collapsed="false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</row>
    <row r="721" customFormat="false" ht="12.75" hidden="false" customHeight="false" outlineLevel="0" collapsed="false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</row>
    <row r="722" customFormat="false" ht="12.75" hidden="false" customHeight="false" outlineLevel="0" collapsed="false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</row>
    <row r="723" customFormat="false" ht="12.75" hidden="false" customHeight="false" outlineLevel="0" collapsed="false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</row>
    <row r="724" customFormat="false" ht="12.75" hidden="false" customHeight="false" outlineLevel="0" collapsed="false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</row>
    <row r="725" customFormat="false" ht="12.75" hidden="false" customHeight="false" outlineLevel="0" collapsed="false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</row>
    <row r="726" customFormat="false" ht="12.75" hidden="false" customHeight="false" outlineLevel="0" collapsed="false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</row>
    <row r="727" customFormat="false" ht="12.75" hidden="false" customHeight="false" outlineLevel="0" collapsed="false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</row>
    <row r="728" customFormat="false" ht="12.75" hidden="false" customHeight="false" outlineLevel="0" collapsed="false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</row>
    <row r="729" customFormat="false" ht="12.75" hidden="false" customHeight="false" outlineLevel="0" collapsed="false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</row>
    <row r="730" customFormat="false" ht="12.75" hidden="false" customHeight="false" outlineLevel="0" collapsed="false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</row>
    <row r="731" customFormat="false" ht="12.75" hidden="false" customHeight="false" outlineLevel="0" collapsed="false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</row>
    <row r="732" customFormat="false" ht="12.75" hidden="false" customHeight="false" outlineLevel="0" collapsed="false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</row>
    <row r="733" customFormat="false" ht="12.75" hidden="false" customHeight="false" outlineLevel="0" collapsed="false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</row>
    <row r="734" customFormat="false" ht="12.75" hidden="false" customHeight="false" outlineLevel="0" collapsed="false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</row>
    <row r="735" customFormat="false" ht="12.75" hidden="false" customHeight="false" outlineLevel="0" collapsed="false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</row>
    <row r="736" customFormat="false" ht="12.75" hidden="false" customHeight="false" outlineLevel="0" collapsed="false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</row>
    <row r="737" customFormat="false" ht="12.75" hidden="false" customHeight="false" outlineLevel="0" collapsed="false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</row>
    <row r="738" customFormat="false" ht="12.75" hidden="false" customHeight="false" outlineLevel="0" collapsed="false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</row>
    <row r="739" customFormat="false" ht="12.75" hidden="false" customHeight="false" outlineLevel="0" collapsed="false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</row>
    <row r="740" customFormat="false" ht="12.75" hidden="false" customHeight="false" outlineLevel="0" collapsed="false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</row>
    <row r="741" customFormat="false" ht="12.75" hidden="false" customHeight="false" outlineLevel="0" collapsed="false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</row>
    <row r="742" customFormat="false" ht="12.75" hidden="false" customHeight="false" outlineLevel="0" collapsed="false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</row>
    <row r="743" customFormat="false" ht="12.75" hidden="false" customHeight="false" outlineLevel="0" collapsed="false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</row>
    <row r="744" customFormat="false" ht="12.75" hidden="false" customHeight="false" outlineLevel="0" collapsed="false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</row>
    <row r="745" customFormat="false" ht="12.75" hidden="false" customHeight="false" outlineLevel="0" collapsed="false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</row>
    <row r="746" customFormat="false" ht="12.75" hidden="false" customHeight="false" outlineLevel="0" collapsed="false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</row>
    <row r="747" customFormat="false" ht="12.75" hidden="false" customHeight="false" outlineLevel="0" collapsed="false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</row>
    <row r="748" customFormat="false" ht="12.75" hidden="false" customHeight="false" outlineLevel="0" collapsed="false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</row>
    <row r="749" customFormat="false" ht="12.75" hidden="false" customHeight="false" outlineLevel="0" collapsed="false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</row>
    <row r="750" customFormat="false" ht="12.75" hidden="false" customHeight="false" outlineLevel="0" collapsed="false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</row>
    <row r="751" customFormat="false" ht="12.75" hidden="false" customHeight="false" outlineLevel="0" collapsed="false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</row>
    <row r="752" customFormat="false" ht="12.75" hidden="false" customHeight="false" outlineLevel="0" collapsed="false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</row>
    <row r="753" customFormat="false" ht="12.75" hidden="false" customHeight="false" outlineLevel="0" collapsed="false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</row>
    <row r="754" customFormat="false" ht="12.75" hidden="false" customHeight="false" outlineLevel="0" collapsed="false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</row>
    <row r="755" customFormat="false" ht="12.75" hidden="false" customHeight="false" outlineLevel="0" collapsed="false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</row>
    <row r="756" customFormat="false" ht="12.75" hidden="false" customHeight="false" outlineLevel="0" collapsed="false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</row>
    <row r="757" customFormat="false" ht="12.75" hidden="false" customHeight="false" outlineLevel="0" collapsed="false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</row>
    <row r="758" customFormat="false" ht="12.75" hidden="false" customHeight="false" outlineLevel="0" collapsed="false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</row>
    <row r="759" customFormat="false" ht="12.75" hidden="false" customHeight="false" outlineLevel="0" collapsed="false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</row>
    <row r="760" customFormat="false" ht="12.75" hidden="false" customHeight="false" outlineLevel="0" collapsed="false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</row>
    <row r="761" customFormat="false" ht="12.75" hidden="false" customHeight="false" outlineLevel="0" collapsed="false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</row>
    <row r="762" customFormat="false" ht="12.75" hidden="false" customHeight="false" outlineLevel="0" collapsed="false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</row>
    <row r="763" customFormat="false" ht="12.75" hidden="false" customHeight="false" outlineLevel="0" collapsed="false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</row>
    <row r="764" customFormat="false" ht="12.75" hidden="false" customHeight="false" outlineLevel="0" collapsed="false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</row>
    <row r="765" customFormat="false" ht="12.75" hidden="false" customHeight="false" outlineLevel="0" collapsed="false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</row>
    <row r="766" customFormat="false" ht="12.75" hidden="false" customHeight="false" outlineLevel="0" collapsed="false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</row>
    <row r="767" customFormat="false" ht="12.75" hidden="false" customHeight="false" outlineLevel="0" collapsed="false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</row>
    <row r="768" customFormat="false" ht="12.75" hidden="false" customHeight="false" outlineLevel="0" collapsed="false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</row>
    <row r="769" customFormat="false" ht="12.75" hidden="false" customHeight="false" outlineLevel="0" collapsed="false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</row>
    <row r="770" customFormat="false" ht="12.75" hidden="false" customHeight="false" outlineLevel="0" collapsed="false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</row>
    <row r="771" customFormat="false" ht="12.75" hidden="false" customHeight="false" outlineLevel="0" collapsed="false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</row>
    <row r="772" customFormat="false" ht="12.75" hidden="false" customHeight="false" outlineLevel="0" collapsed="false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</row>
    <row r="773" customFormat="false" ht="12.75" hidden="false" customHeight="false" outlineLevel="0" collapsed="false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</row>
    <row r="774" customFormat="false" ht="12.75" hidden="false" customHeight="false" outlineLevel="0" collapsed="false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</row>
    <row r="775" customFormat="false" ht="12.75" hidden="false" customHeight="false" outlineLevel="0" collapsed="false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</row>
    <row r="776" customFormat="false" ht="12.75" hidden="false" customHeight="false" outlineLevel="0" collapsed="false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</row>
    <row r="777" customFormat="false" ht="12.75" hidden="false" customHeight="false" outlineLevel="0" collapsed="false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</row>
    <row r="778" customFormat="false" ht="12.75" hidden="false" customHeight="false" outlineLevel="0" collapsed="false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</row>
    <row r="779" customFormat="false" ht="12.75" hidden="false" customHeight="false" outlineLevel="0" collapsed="false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</row>
    <row r="780" customFormat="false" ht="12.75" hidden="false" customHeight="false" outlineLevel="0" collapsed="false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</row>
    <row r="781" customFormat="false" ht="12.75" hidden="false" customHeight="false" outlineLevel="0" collapsed="false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</row>
    <row r="782" customFormat="false" ht="12.75" hidden="false" customHeight="false" outlineLevel="0" collapsed="false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</row>
    <row r="783" customFormat="false" ht="12.75" hidden="false" customHeight="false" outlineLevel="0" collapsed="false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</row>
    <row r="784" customFormat="false" ht="12.75" hidden="false" customHeight="false" outlineLevel="0" collapsed="false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</row>
    <row r="785" customFormat="false" ht="12.75" hidden="false" customHeight="false" outlineLevel="0" collapsed="false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</row>
    <row r="786" customFormat="false" ht="12.75" hidden="false" customHeight="false" outlineLevel="0" collapsed="false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</row>
    <row r="787" customFormat="false" ht="12.75" hidden="false" customHeight="false" outlineLevel="0" collapsed="false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</row>
    <row r="788" customFormat="false" ht="12.75" hidden="false" customHeight="false" outlineLevel="0" collapsed="false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</row>
    <row r="789" customFormat="false" ht="12.75" hidden="false" customHeight="false" outlineLevel="0" collapsed="false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</row>
    <row r="790" customFormat="false" ht="12.75" hidden="false" customHeight="false" outlineLevel="0" collapsed="false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</row>
    <row r="791" customFormat="false" ht="12.75" hidden="false" customHeight="false" outlineLevel="0" collapsed="false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</row>
    <row r="792" customFormat="false" ht="12.75" hidden="false" customHeight="false" outlineLevel="0" collapsed="false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</row>
    <row r="793" customFormat="false" ht="12.75" hidden="false" customHeight="false" outlineLevel="0" collapsed="false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</row>
    <row r="794" customFormat="false" ht="12.75" hidden="false" customHeight="false" outlineLevel="0" collapsed="false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</row>
    <row r="795" customFormat="false" ht="12.75" hidden="false" customHeight="false" outlineLevel="0" collapsed="false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</row>
    <row r="796" customFormat="false" ht="12.75" hidden="false" customHeight="false" outlineLevel="0" collapsed="false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</row>
    <row r="797" customFormat="false" ht="12.75" hidden="false" customHeight="false" outlineLevel="0" collapsed="false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</row>
    <row r="798" customFormat="false" ht="12.75" hidden="false" customHeight="false" outlineLevel="0" collapsed="false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</row>
    <row r="799" customFormat="false" ht="12.75" hidden="false" customHeight="false" outlineLevel="0" collapsed="false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</row>
    <row r="800" customFormat="false" ht="12.75" hidden="false" customHeight="false" outlineLevel="0" collapsed="false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</row>
    <row r="801" customFormat="false" ht="12.75" hidden="false" customHeight="false" outlineLevel="0" collapsed="false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</row>
    <row r="802" customFormat="false" ht="12.75" hidden="false" customHeight="false" outlineLevel="0" collapsed="false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</row>
    <row r="803" customFormat="false" ht="12.75" hidden="false" customHeight="false" outlineLevel="0" collapsed="false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</row>
    <row r="804" customFormat="false" ht="12.75" hidden="false" customHeight="false" outlineLevel="0" collapsed="false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</row>
    <row r="805" customFormat="false" ht="12.75" hidden="false" customHeight="false" outlineLevel="0" collapsed="false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</row>
    <row r="806" customFormat="false" ht="12.75" hidden="false" customHeight="false" outlineLevel="0" collapsed="false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</row>
    <row r="807" customFormat="false" ht="12.75" hidden="false" customHeight="false" outlineLevel="0" collapsed="false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</row>
    <row r="808" customFormat="false" ht="12.75" hidden="false" customHeight="false" outlineLevel="0" collapsed="false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</row>
    <row r="809" customFormat="false" ht="12.75" hidden="false" customHeight="false" outlineLevel="0" collapsed="false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</row>
    <row r="810" customFormat="false" ht="12.75" hidden="false" customHeight="false" outlineLevel="0" collapsed="false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</row>
    <row r="811" customFormat="false" ht="12.75" hidden="false" customHeight="false" outlineLevel="0" collapsed="false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</row>
    <row r="812" customFormat="false" ht="12.75" hidden="false" customHeight="false" outlineLevel="0" collapsed="false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</row>
    <row r="813" customFormat="false" ht="12.75" hidden="false" customHeight="false" outlineLevel="0" collapsed="false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</row>
    <row r="814" customFormat="false" ht="12.75" hidden="false" customHeight="false" outlineLevel="0" collapsed="false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</row>
    <row r="815" customFormat="false" ht="12.75" hidden="false" customHeight="false" outlineLevel="0" collapsed="false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</row>
    <row r="816" customFormat="false" ht="12.75" hidden="false" customHeight="false" outlineLevel="0" collapsed="false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</row>
    <row r="817" customFormat="false" ht="12.75" hidden="false" customHeight="false" outlineLevel="0" collapsed="false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</row>
    <row r="818" customFormat="false" ht="12.75" hidden="false" customHeight="false" outlineLevel="0" collapsed="false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</row>
    <row r="819" customFormat="false" ht="12.75" hidden="false" customHeight="false" outlineLevel="0" collapsed="false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</row>
    <row r="820" customFormat="false" ht="12.75" hidden="false" customHeight="false" outlineLevel="0" collapsed="false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</row>
    <row r="821" customFormat="false" ht="12.75" hidden="false" customHeight="false" outlineLevel="0" collapsed="false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</row>
    <row r="822" customFormat="false" ht="12.75" hidden="false" customHeight="false" outlineLevel="0" collapsed="false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</row>
    <row r="823" customFormat="false" ht="12.75" hidden="false" customHeight="false" outlineLevel="0" collapsed="false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</row>
    <row r="824" customFormat="false" ht="12.75" hidden="false" customHeight="false" outlineLevel="0" collapsed="false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</row>
    <row r="825" customFormat="false" ht="12.75" hidden="false" customHeight="false" outlineLevel="0" collapsed="false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</row>
    <row r="826" customFormat="false" ht="12.75" hidden="false" customHeight="false" outlineLevel="0" collapsed="false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</row>
    <row r="827" customFormat="false" ht="12.75" hidden="false" customHeight="false" outlineLevel="0" collapsed="false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</row>
    <row r="828" customFormat="false" ht="12.75" hidden="false" customHeight="false" outlineLevel="0" collapsed="false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</row>
    <row r="829" customFormat="false" ht="12.75" hidden="false" customHeight="false" outlineLevel="0" collapsed="false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</row>
    <row r="830" customFormat="false" ht="12.75" hidden="false" customHeight="false" outlineLevel="0" collapsed="false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</row>
    <row r="831" customFormat="false" ht="12.75" hidden="false" customHeight="false" outlineLevel="0" collapsed="false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</row>
    <row r="832" customFormat="false" ht="12.75" hidden="false" customHeight="false" outlineLevel="0" collapsed="false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</row>
    <row r="833" customFormat="false" ht="12.75" hidden="false" customHeight="false" outlineLevel="0" collapsed="false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</row>
    <row r="834" customFormat="false" ht="12.75" hidden="false" customHeight="false" outlineLevel="0" collapsed="false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</row>
    <row r="835" customFormat="false" ht="12.75" hidden="false" customHeight="false" outlineLevel="0" collapsed="false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</row>
    <row r="836" customFormat="false" ht="12.75" hidden="false" customHeight="false" outlineLevel="0" collapsed="false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</row>
    <row r="837" customFormat="false" ht="12.75" hidden="false" customHeight="false" outlineLevel="0" collapsed="false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</row>
    <row r="838" customFormat="false" ht="12.75" hidden="false" customHeight="false" outlineLevel="0" collapsed="false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</row>
    <row r="839" customFormat="false" ht="12.75" hidden="false" customHeight="false" outlineLevel="0" collapsed="false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</row>
    <row r="840" customFormat="false" ht="12.75" hidden="false" customHeight="false" outlineLevel="0" collapsed="false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</row>
    <row r="841" customFormat="false" ht="12.75" hidden="false" customHeight="false" outlineLevel="0" collapsed="false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</row>
    <row r="842" customFormat="false" ht="12.75" hidden="false" customHeight="false" outlineLevel="0" collapsed="false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</row>
    <row r="843" customFormat="false" ht="12.75" hidden="false" customHeight="false" outlineLevel="0" collapsed="false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</row>
    <row r="844" customFormat="false" ht="12.75" hidden="false" customHeight="false" outlineLevel="0" collapsed="false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</row>
    <row r="845" customFormat="false" ht="12.75" hidden="false" customHeight="false" outlineLevel="0" collapsed="false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</row>
    <row r="846" customFormat="false" ht="12.75" hidden="false" customHeight="false" outlineLevel="0" collapsed="false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</row>
    <row r="847" customFormat="false" ht="12.75" hidden="false" customHeight="false" outlineLevel="0" collapsed="false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</row>
    <row r="848" customFormat="false" ht="12.75" hidden="false" customHeight="false" outlineLevel="0" collapsed="false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</row>
    <row r="849" customFormat="false" ht="12.75" hidden="false" customHeight="false" outlineLevel="0" collapsed="false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</row>
    <row r="850" customFormat="false" ht="12.75" hidden="false" customHeight="false" outlineLevel="0" collapsed="false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</row>
    <row r="851" customFormat="false" ht="12.75" hidden="false" customHeight="false" outlineLevel="0" collapsed="false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</row>
    <row r="852" customFormat="false" ht="12.75" hidden="false" customHeight="false" outlineLevel="0" collapsed="false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</row>
    <row r="853" customFormat="false" ht="12.75" hidden="false" customHeight="false" outlineLevel="0" collapsed="false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</row>
    <row r="854" customFormat="false" ht="12.75" hidden="false" customHeight="false" outlineLevel="0" collapsed="false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</row>
    <row r="855" customFormat="false" ht="12.75" hidden="false" customHeight="false" outlineLevel="0" collapsed="false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</row>
    <row r="856" customFormat="false" ht="12.75" hidden="false" customHeight="false" outlineLevel="0" collapsed="false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</row>
    <row r="857" customFormat="false" ht="12.75" hidden="false" customHeight="false" outlineLevel="0" collapsed="false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</row>
    <row r="858" customFormat="false" ht="12.75" hidden="false" customHeight="false" outlineLevel="0" collapsed="false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</row>
    <row r="859" customFormat="false" ht="12.75" hidden="false" customHeight="false" outlineLevel="0" collapsed="false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</row>
    <row r="860" customFormat="false" ht="12.75" hidden="false" customHeight="false" outlineLevel="0" collapsed="false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</row>
    <row r="861" customFormat="false" ht="12.75" hidden="false" customHeight="false" outlineLevel="0" collapsed="false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</row>
    <row r="862" customFormat="false" ht="12.75" hidden="false" customHeight="false" outlineLevel="0" collapsed="false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</row>
    <row r="863" customFormat="false" ht="12.75" hidden="false" customHeight="false" outlineLevel="0" collapsed="false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</row>
    <row r="864" customFormat="false" ht="12.75" hidden="false" customHeight="false" outlineLevel="0" collapsed="false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</row>
    <row r="865" customFormat="false" ht="12.75" hidden="false" customHeight="false" outlineLevel="0" collapsed="false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</row>
    <row r="866" customFormat="false" ht="12.75" hidden="false" customHeight="false" outlineLevel="0" collapsed="false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</row>
    <row r="867" customFormat="false" ht="12.75" hidden="false" customHeight="false" outlineLevel="0" collapsed="false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</row>
    <row r="868" customFormat="false" ht="12.75" hidden="false" customHeight="false" outlineLevel="0" collapsed="false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</row>
    <row r="869" customFormat="false" ht="12.75" hidden="false" customHeight="false" outlineLevel="0" collapsed="false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</row>
    <row r="870" customFormat="false" ht="12.75" hidden="false" customHeight="false" outlineLevel="0" collapsed="false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</row>
    <row r="871" customFormat="false" ht="12.75" hidden="false" customHeight="false" outlineLevel="0" collapsed="false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</row>
    <row r="872" customFormat="false" ht="12.75" hidden="false" customHeight="false" outlineLevel="0" collapsed="false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</row>
    <row r="873" customFormat="false" ht="12.75" hidden="false" customHeight="false" outlineLevel="0" collapsed="false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</row>
    <row r="874" customFormat="false" ht="12.75" hidden="false" customHeight="false" outlineLevel="0" collapsed="false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</row>
    <row r="875" customFormat="false" ht="12.75" hidden="false" customHeight="false" outlineLevel="0" collapsed="false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</row>
    <row r="876" customFormat="false" ht="12.75" hidden="false" customHeight="false" outlineLevel="0" collapsed="false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</row>
    <row r="877" customFormat="false" ht="12.75" hidden="false" customHeight="false" outlineLevel="0" collapsed="false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</row>
    <row r="878" customFormat="false" ht="12.75" hidden="false" customHeight="false" outlineLevel="0" collapsed="false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</row>
    <row r="879" customFormat="false" ht="12.75" hidden="false" customHeight="false" outlineLevel="0" collapsed="false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</row>
    <row r="880" customFormat="false" ht="12.75" hidden="false" customHeight="false" outlineLevel="0" collapsed="false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</row>
    <row r="881" customFormat="false" ht="12.75" hidden="false" customHeight="false" outlineLevel="0" collapsed="false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</row>
    <row r="882" customFormat="false" ht="12.75" hidden="false" customHeight="false" outlineLevel="0" collapsed="false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</row>
    <row r="883" customFormat="false" ht="12.75" hidden="false" customHeight="false" outlineLevel="0" collapsed="false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</row>
    <row r="884" customFormat="false" ht="12.75" hidden="false" customHeight="false" outlineLevel="0" collapsed="false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</row>
    <row r="885" customFormat="false" ht="12.75" hidden="false" customHeight="false" outlineLevel="0" collapsed="false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</row>
    <row r="886" customFormat="false" ht="12.75" hidden="false" customHeight="false" outlineLevel="0" collapsed="false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</row>
    <row r="887" customFormat="false" ht="12.75" hidden="false" customHeight="false" outlineLevel="0" collapsed="false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</row>
    <row r="888" customFormat="false" ht="12.75" hidden="false" customHeight="false" outlineLevel="0" collapsed="false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</row>
    <row r="889" customFormat="false" ht="12.75" hidden="false" customHeight="false" outlineLevel="0" collapsed="false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</row>
    <row r="890" customFormat="false" ht="12.75" hidden="false" customHeight="false" outlineLevel="0" collapsed="false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</row>
    <row r="891" customFormat="false" ht="12.75" hidden="false" customHeight="false" outlineLevel="0" collapsed="false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</row>
    <row r="892" customFormat="false" ht="12.75" hidden="false" customHeight="false" outlineLevel="0" collapsed="false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</row>
    <row r="893" customFormat="false" ht="12.75" hidden="false" customHeight="false" outlineLevel="0" collapsed="false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</row>
    <row r="894" customFormat="false" ht="12.75" hidden="false" customHeight="false" outlineLevel="0" collapsed="false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</row>
    <row r="895" customFormat="false" ht="12.75" hidden="false" customHeight="false" outlineLevel="0" collapsed="false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</row>
    <row r="896" customFormat="false" ht="12.75" hidden="false" customHeight="false" outlineLevel="0" collapsed="false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</row>
    <row r="897" customFormat="false" ht="12.75" hidden="false" customHeight="false" outlineLevel="0" collapsed="false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</row>
    <row r="898" customFormat="false" ht="12.75" hidden="false" customHeight="false" outlineLevel="0" collapsed="false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</row>
    <row r="899" customFormat="false" ht="12.75" hidden="false" customHeight="false" outlineLevel="0" collapsed="false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</row>
    <row r="900" customFormat="false" ht="12.75" hidden="false" customHeight="false" outlineLevel="0" collapsed="false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</row>
    <row r="901" customFormat="false" ht="12.75" hidden="false" customHeight="false" outlineLevel="0" collapsed="false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</row>
    <row r="902" customFormat="false" ht="12.75" hidden="false" customHeight="false" outlineLevel="0" collapsed="false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</row>
    <row r="903" customFormat="false" ht="12.75" hidden="false" customHeight="false" outlineLevel="0" collapsed="false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</row>
    <row r="904" customFormat="false" ht="12.75" hidden="false" customHeight="false" outlineLevel="0" collapsed="false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</row>
    <row r="905" customFormat="false" ht="12.75" hidden="false" customHeight="false" outlineLevel="0" collapsed="false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</row>
    <row r="906" customFormat="false" ht="12.75" hidden="false" customHeight="false" outlineLevel="0" collapsed="false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</row>
    <row r="907" customFormat="false" ht="12.75" hidden="false" customHeight="false" outlineLevel="0" collapsed="false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</row>
    <row r="908" customFormat="false" ht="12.75" hidden="false" customHeight="false" outlineLevel="0" collapsed="false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</row>
    <row r="909" customFormat="false" ht="12.75" hidden="false" customHeight="false" outlineLevel="0" collapsed="false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</row>
    <row r="910" customFormat="false" ht="12.75" hidden="false" customHeight="false" outlineLevel="0" collapsed="false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</row>
    <row r="911" customFormat="false" ht="12.75" hidden="false" customHeight="false" outlineLevel="0" collapsed="false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</row>
    <row r="912" customFormat="false" ht="12.75" hidden="false" customHeight="false" outlineLevel="0" collapsed="false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</row>
    <row r="913" customFormat="false" ht="12.75" hidden="false" customHeight="false" outlineLevel="0" collapsed="false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</row>
    <row r="914" customFormat="false" ht="12.75" hidden="false" customHeight="false" outlineLevel="0" collapsed="false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</row>
    <row r="915" customFormat="false" ht="12.75" hidden="false" customHeight="false" outlineLevel="0" collapsed="false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</row>
    <row r="916" customFormat="false" ht="12.75" hidden="false" customHeight="false" outlineLevel="0" collapsed="false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</row>
    <row r="917" customFormat="false" ht="12.75" hidden="false" customHeight="false" outlineLevel="0" collapsed="false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</row>
    <row r="918" customFormat="false" ht="12.75" hidden="false" customHeight="false" outlineLevel="0" collapsed="false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</row>
    <row r="919" customFormat="false" ht="12.75" hidden="false" customHeight="false" outlineLevel="0" collapsed="false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</row>
    <row r="920" customFormat="false" ht="12.75" hidden="false" customHeight="false" outlineLevel="0" collapsed="false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</row>
    <row r="921" customFormat="false" ht="12.75" hidden="false" customHeight="false" outlineLevel="0" collapsed="false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</row>
    <row r="922" customFormat="false" ht="12.75" hidden="false" customHeight="false" outlineLevel="0" collapsed="false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</row>
    <row r="923" customFormat="false" ht="12.75" hidden="false" customHeight="false" outlineLevel="0" collapsed="false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</row>
    <row r="924" customFormat="false" ht="12.75" hidden="false" customHeight="false" outlineLevel="0" collapsed="false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</row>
    <row r="925" customFormat="false" ht="12.75" hidden="false" customHeight="false" outlineLevel="0" collapsed="false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</row>
    <row r="926" customFormat="false" ht="12.75" hidden="false" customHeight="false" outlineLevel="0" collapsed="false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</row>
    <row r="927" customFormat="false" ht="12.75" hidden="false" customHeight="false" outlineLevel="0" collapsed="false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</row>
    <row r="928" customFormat="false" ht="12.75" hidden="false" customHeight="false" outlineLevel="0" collapsed="false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</row>
    <row r="929" customFormat="false" ht="12.75" hidden="false" customHeight="false" outlineLevel="0" collapsed="false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</row>
    <row r="930" customFormat="false" ht="12.75" hidden="false" customHeight="false" outlineLevel="0" collapsed="false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</row>
    <row r="931" customFormat="false" ht="12.75" hidden="false" customHeight="false" outlineLevel="0" collapsed="false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</row>
    <row r="932" customFormat="false" ht="12.75" hidden="false" customHeight="false" outlineLevel="0" collapsed="false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</row>
    <row r="933" customFormat="false" ht="12.75" hidden="false" customHeight="false" outlineLevel="0" collapsed="false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</row>
    <row r="934" customFormat="false" ht="12.75" hidden="false" customHeight="false" outlineLevel="0" collapsed="false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</row>
    <row r="935" customFormat="false" ht="12.75" hidden="false" customHeight="false" outlineLevel="0" collapsed="false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</row>
    <row r="936" customFormat="false" ht="12.75" hidden="false" customHeight="false" outlineLevel="0" collapsed="false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</row>
    <row r="937" customFormat="false" ht="12.75" hidden="false" customHeight="false" outlineLevel="0" collapsed="false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</row>
    <row r="938" customFormat="false" ht="12.75" hidden="false" customHeight="false" outlineLevel="0" collapsed="false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</row>
    <row r="939" customFormat="false" ht="12.75" hidden="false" customHeight="false" outlineLevel="0" collapsed="false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</row>
    <row r="940" customFormat="false" ht="12.75" hidden="false" customHeight="false" outlineLevel="0" collapsed="false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</row>
    <row r="941" customFormat="false" ht="12.75" hidden="false" customHeight="false" outlineLevel="0" collapsed="false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</row>
    <row r="942" customFormat="false" ht="12.75" hidden="false" customHeight="false" outlineLevel="0" collapsed="false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</row>
    <row r="943" customFormat="false" ht="12.75" hidden="false" customHeight="false" outlineLevel="0" collapsed="false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</row>
    <row r="944" customFormat="false" ht="12.75" hidden="false" customHeight="false" outlineLevel="0" collapsed="false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</row>
    <row r="945" customFormat="false" ht="12.75" hidden="false" customHeight="false" outlineLevel="0" collapsed="false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</row>
    <row r="946" customFormat="false" ht="12.75" hidden="false" customHeight="false" outlineLevel="0" collapsed="false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</row>
    <row r="947" customFormat="false" ht="12.75" hidden="false" customHeight="false" outlineLevel="0" collapsed="false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</row>
    <row r="948" customFormat="false" ht="12.75" hidden="false" customHeight="false" outlineLevel="0" collapsed="false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</row>
    <row r="949" customFormat="false" ht="12.75" hidden="false" customHeight="false" outlineLevel="0" collapsed="false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</row>
    <row r="950" customFormat="false" ht="12.75" hidden="false" customHeight="false" outlineLevel="0" collapsed="false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</row>
    <row r="951" customFormat="false" ht="12.75" hidden="false" customHeight="false" outlineLevel="0" collapsed="false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</row>
    <row r="952" customFormat="false" ht="12.75" hidden="false" customHeight="false" outlineLevel="0" collapsed="false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</row>
    <row r="953" customFormat="false" ht="12.75" hidden="false" customHeight="false" outlineLevel="0" collapsed="false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</row>
    <row r="954" customFormat="false" ht="12.75" hidden="false" customHeight="false" outlineLevel="0" collapsed="false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</row>
    <row r="955" customFormat="false" ht="12.75" hidden="false" customHeight="false" outlineLevel="0" collapsed="false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</row>
    <row r="956" customFormat="false" ht="12.75" hidden="false" customHeight="false" outlineLevel="0" collapsed="false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</row>
    <row r="957" customFormat="false" ht="12.75" hidden="false" customHeight="false" outlineLevel="0" collapsed="false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</row>
    <row r="958" customFormat="false" ht="12.75" hidden="false" customHeight="false" outlineLevel="0" collapsed="false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</row>
    <row r="959" customFormat="false" ht="12.75" hidden="false" customHeight="false" outlineLevel="0" collapsed="false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</row>
    <row r="960" customFormat="false" ht="12.75" hidden="false" customHeight="false" outlineLevel="0" collapsed="false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</row>
    <row r="961" customFormat="false" ht="12.75" hidden="false" customHeight="false" outlineLevel="0" collapsed="false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</row>
    <row r="962" customFormat="false" ht="12.75" hidden="false" customHeight="false" outlineLevel="0" collapsed="false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</row>
    <row r="963" customFormat="false" ht="12.75" hidden="false" customHeight="false" outlineLevel="0" collapsed="false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</row>
    <row r="964" customFormat="false" ht="12.75" hidden="false" customHeight="false" outlineLevel="0" collapsed="false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</row>
    <row r="965" customFormat="false" ht="12.75" hidden="false" customHeight="false" outlineLevel="0" collapsed="false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</row>
    <row r="966" customFormat="false" ht="12.75" hidden="false" customHeight="false" outlineLevel="0" collapsed="false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</row>
    <row r="967" customFormat="false" ht="12.75" hidden="false" customHeight="false" outlineLevel="0" collapsed="false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</row>
    <row r="968" customFormat="false" ht="12.75" hidden="false" customHeight="false" outlineLevel="0" collapsed="false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</row>
    <row r="969" customFormat="false" ht="12.75" hidden="false" customHeight="false" outlineLevel="0" collapsed="false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</row>
    <row r="970" customFormat="false" ht="12.75" hidden="false" customHeight="false" outlineLevel="0" collapsed="false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</row>
    <row r="971" customFormat="false" ht="12.75" hidden="false" customHeight="false" outlineLevel="0" collapsed="false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</row>
    <row r="972" customFormat="false" ht="12.75" hidden="false" customHeight="false" outlineLevel="0" collapsed="false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</row>
    <row r="973" customFormat="false" ht="12.75" hidden="false" customHeight="false" outlineLevel="0" collapsed="false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</row>
    <row r="974" customFormat="false" ht="12.75" hidden="false" customHeight="false" outlineLevel="0" collapsed="false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</row>
    <row r="975" customFormat="false" ht="12.75" hidden="false" customHeight="false" outlineLevel="0" collapsed="false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</row>
    <row r="976" customFormat="false" ht="12.75" hidden="false" customHeight="false" outlineLevel="0" collapsed="false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</row>
    <row r="977" customFormat="false" ht="12.75" hidden="false" customHeight="false" outlineLevel="0" collapsed="false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</row>
    <row r="978" customFormat="false" ht="12.75" hidden="false" customHeight="false" outlineLevel="0" collapsed="false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</row>
    <row r="979" customFormat="false" ht="12.75" hidden="false" customHeight="false" outlineLevel="0" collapsed="false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</row>
    <row r="980" customFormat="false" ht="12.75" hidden="false" customHeight="false" outlineLevel="0" collapsed="false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</row>
    <row r="981" customFormat="false" ht="12.75" hidden="false" customHeight="false" outlineLevel="0" collapsed="false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</row>
    <row r="982" customFormat="false" ht="12.75" hidden="false" customHeight="false" outlineLevel="0" collapsed="false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</row>
    <row r="983" customFormat="false" ht="12.75" hidden="false" customHeight="false" outlineLevel="0" collapsed="false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</row>
    <row r="984" customFormat="false" ht="12.75" hidden="false" customHeight="false" outlineLevel="0" collapsed="false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</row>
    <row r="985" customFormat="false" ht="12.75" hidden="false" customHeight="false" outlineLevel="0" collapsed="false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</row>
    <row r="986" customFormat="false" ht="12.75" hidden="false" customHeight="false" outlineLevel="0" collapsed="false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</row>
    <row r="987" customFormat="false" ht="12.75" hidden="false" customHeight="false" outlineLevel="0" collapsed="false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</row>
    <row r="988" customFormat="false" ht="12.75" hidden="false" customHeight="false" outlineLevel="0" collapsed="false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</row>
    <row r="989" customFormat="false" ht="12.75" hidden="false" customHeight="false" outlineLevel="0" collapsed="false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</row>
    <row r="990" customFormat="false" ht="12.75" hidden="false" customHeight="false" outlineLevel="0" collapsed="false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</row>
    <row r="991" customFormat="false" ht="12.75" hidden="false" customHeight="false" outlineLevel="0" collapsed="false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</row>
    <row r="992" customFormat="false" ht="12.75" hidden="false" customHeight="false" outlineLevel="0" collapsed="false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</row>
    <row r="993" customFormat="false" ht="12.75" hidden="false" customHeight="false" outlineLevel="0" collapsed="false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</row>
    <row r="994" customFormat="false" ht="12.75" hidden="false" customHeight="false" outlineLevel="0" collapsed="false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</row>
    <row r="995" customFormat="false" ht="12.75" hidden="false" customHeight="false" outlineLevel="0" collapsed="false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</row>
    <row r="996" customFormat="false" ht="12.75" hidden="false" customHeight="false" outlineLevel="0" collapsed="false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</row>
    <row r="997" customFormat="false" ht="12.75" hidden="false" customHeight="false" outlineLevel="0" collapsed="false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</row>
    <row r="998" customFormat="false" ht="12.75" hidden="false" customHeight="false" outlineLevel="0" collapsed="false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</row>
    <row r="999" customFormat="false" ht="12.75" hidden="false" customHeight="false" outlineLevel="0" collapsed="false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</row>
    <row r="1000" customFormat="false" ht="12.75" hidden="false" customHeight="false" outlineLevel="0" collapsed="false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</row>
    <row r="1001" customFormat="false" ht="12.75" hidden="false" customHeight="false" outlineLevel="0" collapsed="false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</row>
    <row r="1002" customFormat="false" ht="12.75" hidden="false" customHeight="false" outlineLevel="0" collapsed="false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</row>
    <row r="1003" customFormat="false" ht="12.75" hidden="false" customHeight="false" outlineLevel="0" collapsed="false">
      <c r="A1003" s="76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</row>
    <row r="1004" customFormat="false" ht="12.75" hidden="false" customHeight="false" outlineLevel="0" collapsed="false">
      <c r="A1004" s="76"/>
      <c r="B1004" s="76"/>
      <c r="C1004" s="76"/>
      <c r="D1004" s="76"/>
      <c r="E1004" s="76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</row>
    <row r="1005" customFormat="false" ht="12.75" hidden="false" customHeight="false" outlineLevel="0" collapsed="false">
      <c r="A1005" s="76"/>
      <c r="B1005" s="76"/>
      <c r="C1005" s="76"/>
      <c r="D1005" s="76"/>
      <c r="E1005" s="76"/>
      <c r="F1005" s="76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6"/>
      <c r="R1005" s="76"/>
    </row>
    <row r="1006" customFormat="false" ht="12.75" hidden="false" customHeight="false" outlineLevel="0" collapsed="false">
      <c r="A1006" s="76"/>
      <c r="B1006" s="76"/>
      <c r="C1006" s="76"/>
      <c r="D1006" s="76"/>
      <c r="E1006" s="76"/>
      <c r="F1006" s="76"/>
      <c r="G1006" s="76"/>
      <c r="H1006" s="76"/>
      <c r="I1006" s="76"/>
      <c r="J1006" s="76"/>
      <c r="K1006" s="76"/>
      <c r="L1006" s="76"/>
      <c r="M1006" s="76"/>
      <c r="N1006" s="76"/>
      <c r="O1006" s="76"/>
      <c r="P1006" s="76"/>
      <c r="Q1006" s="76"/>
      <c r="R1006" s="76"/>
    </row>
    <row r="1007" customFormat="false" ht="12.75" hidden="false" customHeight="false" outlineLevel="0" collapsed="false">
      <c r="A1007" s="76"/>
      <c r="B1007" s="76"/>
      <c r="C1007" s="76"/>
      <c r="D1007" s="76"/>
      <c r="E1007" s="76"/>
      <c r="F1007" s="76"/>
      <c r="G1007" s="76"/>
      <c r="H1007" s="76"/>
      <c r="I1007" s="76"/>
      <c r="J1007" s="76"/>
      <c r="K1007" s="76"/>
      <c r="L1007" s="76"/>
      <c r="M1007" s="76"/>
      <c r="N1007" s="76"/>
      <c r="O1007" s="76"/>
      <c r="P1007" s="76"/>
      <c r="Q1007" s="76"/>
      <c r="R1007" s="76"/>
    </row>
    <row r="1008" customFormat="false" ht="12.75" hidden="false" customHeight="false" outlineLevel="0" collapsed="false">
      <c r="A1008" s="76"/>
      <c r="B1008" s="76"/>
      <c r="C1008" s="76"/>
      <c r="D1008" s="76"/>
      <c r="E1008" s="76"/>
      <c r="F1008" s="76"/>
      <c r="G1008" s="76"/>
      <c r="H1008" s="76"/>
      <c r="I1008" s="76"/>
      <c r="J1008" s="76"/>
      <c r="K1008" s="76"/>
      <c r="L1008" s="76"/>
      <c r="M1008" s="76"/>
      <c r="N1008" s="76"/>
      <c r="O1008" s="76"/>
      <c r="P1008" s="76"/>
      <c r="Q1008" s="76"/>
      <c r="R1008" s="76"/>
    </row>
    <row r="1009" customFormat="false" ht="12.75" hidden="false" customHeight="false" outlineLevel="0" collapsed="false">
      <c r="A1009" s="76"/>
      <c r="B1009" s="76"/>
      <c r="C1009" s="76"/>
      <c r="D1009" s="76"/>
      <c r="E1009" s="76"/>
      <c r="F1009" s="76"/>
      <c r="G1009" s="76"/>
      <c r="H1009" s="76"/>
      <c r="I1009" s="76"/>
      <c r="J1009" s="76"/>
      <c r="K1009" s="76"/>
      <c r="L1009" s="76"/>
      <c r="M1009" s="76"/>
      <c r="N1009" s="76"/>
      <c r="O1009" s="76"/>
      <c r="P1009" s="76"/>
      <c r="Q1009" s="76"/>
      <c r="R1009" s="76"/>
    </row>
    <row r="1010" customFormat="false" ht="12.75" hidden="false" customHeight="false" outlineLevel="0" collapsed="false">
      <c r="A1010" s="76"/>
      <c r="B1010" s="76"/>
      <c r="C1010" s="76"/>
      <c r="D1010" s="76"/>
      <c r="E1010" s="76"/>
      <c r="F1010" s="76"/>
      <c r="G1010" s="76"/>
      <c r="H1010" s="76"/>
      <c r="I1010" s="76"/>
      <c r="J1010" s="76"/>
      <c r="K1010" s="76"/>
      <c r="L1010" s="76"/>
      <c r="M1010" s="76"/>
      <c r="N1010" s="76"/>
      <c r="O1010" s="76"/>
      <c r="P1010" s="76"/>
      <c r="Q1010" s="76"/>
      <c r="R1010" s="76"/>
    </row>
    <row r="1011" customFormat="false" ht="12.75" hidden="false" customHeight="false" outlineLevel="0" collapsed="false">
      <c r="A1011" s="76"/>
      <c r="B1011" s="76"/>
      <c r="C1011" s="76"/>
      <c r="D1011" s="76"/>
      <c r="E1011" s="76"/>
      <c r="F1011" s="76"/>
      <c r="G1011" s="76"/>
      <c r="H1011" s="76"/>
      <c r="I1011" s="76"/>
      <c r="J1011" s="76"/>
      <c r="K1011" s="76"/>
      <c r="L1011" s="76"/>
      <c r="M1011" s="76"/>
      <c r="N1011" s="76"/>
      <c r="O1011" s="76"/>
      <c r="P1011" s="76"/>
      <c r="Q1011" s="76"/>
      <c r="R1011" s="76"/>
    </row>
    <row r="1012" customFormat="false" ht="12.75" hidden="false" customHeight="false" outlineLevel="0" collapsed="false">
      <c r="A1012" s="76"/>
      <c r="B1012" s="76"/>
      <c r="C1012" s="76"/>
      <c r="D1012" s="76"/>
      <c r="E1012" s="76"/>
      <c r="F1012" s="76"/>
      <c r="G1012" s="76"/>
      <c r="H1012" s="76"/>
      <c r="I1012" s="76"/>
      <c r="J1012" s="76"/>
      <c r="K1012" s="76"/>
      <c r="L1012" s="76"/>
      <c r="M1012" s="76"/>
      <c r="N1012" s="76"/>
      <c r="O1012" s="76"/>
      <c r="P1012" s="76"/>
      <c r="Q1012" s="76"/>
      <c r="R1012" s="76"/>
    </row>
    <row r="1013" customFormat="false" ht="12.75" hidden="false" customHeight="false" outlineLevel="0" collapsed="false">
      <c r="A1013" s="76"/>
      <c r="B1013" s="76"/>
      <c r="C1013" s="76"/>
      <c r="D1013" s="76"/>
      <c r="E1013" s="76"/>
      <c r="F1013" s="76"/>
      <c r="G1013" s="76"/>
      <c r="H1013" s="76"/>
      <c r="I1013" s="76"/>
      <c r="J1013" s="76"/>
      <c r="K1013" s="76"/>
      <c r="L1013" s="76"/>
      <c r="M1013" s="76"/>
      <c r="N1013" s="76"/>
      <c r="O1013" s="76"/>
      <c r="P1013" s="76"/>
      <c r="Q1013" s="76"/>
      <c r="R1013" s="76"/>
    </row>
    <row r="1014" customFormat="false" ht="12.75" hidden="false" customHeight="false" outlineLevel="0" collapsed="false">
      <c r="A1014" s="76"/>
      <c r="B1014" s="76"/>
      <c r="C1014" s="76"/>
      <c r="D1014" s="76"/>
      <c r="E1014" s="76"/>
      <c r="F1014" s="76"/>
      <c r="G1014" s="76"/>
      <c r="H1014" s="76"/>
      <c r="I1014" s="76"/>
      <c r="J1014" s="76"/>
      <c r="K1014" s="76"/>
      <c r="L1014" s="76"/>
      <c r="M1014" s="76"/>
      <c r="N1014" s="76"/>
      <c r="O1014" s="76"/>
      <c r="P1014" s="76"/>
      <c r="Q1014" s="76"/>
      <c r="R1014" s="76"/>
    </row>
    <row r="1015" customFormat="false" ht="12.75" hidden="false" customHeight="false" outlineLevel="0" collapsed="false">
      <c r="A1015" s="76"/>
      <c r="B1015" s="76"/>
      <c r="C1015" s="76"/>
      <c r="D1015" s="76"/>
      <c r="E1015" s="76"/>
      <c r="F1015" s="76"/>
      <c r="G1015" s="76"/>
      <c r="H1015" s="76"/>
      <c r="I1015" s="76"/>
      <c r="J1015" s="76"/>
      <c r="K1015" s="76"/>
      <c r="L1015" s="76"/>
      <c r="M1015" s="76"/>
      <c r="N1015" s="76"/>
      <c r="O1015" s="76"/>
      <c r="P1015" s="76"/>
      <c r="Q1015" s="76"/>
      <c r="R1015" s="76"/>
    </row>
    <row r="1016" customFormat="false" ht="12.75" hidden="false" customHeight="false" outlineLevel="0" collapsed="false">
      <c r="A1016" s="76"/>
      <c r="B1016" s="76"/>
      <c r="C1016" s="76"/>
      <c r="D1016" s="76"/>
      <c r="E1016" s="76"/>
      <c r="F1016" s="76"/>
      <c r="G1016" s="76"/>
      <c r="H1016" s="76"/>
      <c r="I1016" s="76"/>
      <c r="J1016" s="76"/>
      <c r="K1016" s="76"/>
      <c r="L1016" s="76"/>
      <c r="M1016" s="76"/>
      <c r="N1016" s="76"/>
      <c r="O1016" s="76"/>
      <c r="P1016" s="76"/>
      <c r="Q1016" s="76"/>
      <c r="R1016" s="76"/>
    </row>
    <row r="1017" customFormat="false" ht="12.75" hidden="false" customHeight="false" outlineLevel="0" collapsed="false">
      <c r="A1017" s="76"/>
      <c r="B1017" s="76"/>
      <c r="C1017" s="76"/>
      <c r="D1017" s="76"/>
      <c r="E1017" s="76"/>
      <c r="F1017" s="76"/>
      <c r="G1017" s="76"/>
      <c r="H1017" s="76"/>
      <c r="I1017" s="76"/>
      <c r="J1017" s="76"/>
      <c r="K1017" s="76"/>
      <c r="L1017" s="76"/>
      <c r="M1017" s="76"/>
      <c r="N1017" s="76"/>
      <c r="O1017" s="76"/>
      <c r="P1017" s="76"/>
      <c r="Q1017" s="76"/>
      <c r="R1017" s="76"/>
    </row>
    <row r="1018" customFormat="false" ht="12.75" hidden="false" customHeight="false" outlineLevel="0" collapsed="false">
      <c r="A1018" s="76"/>
      <c r="B1018" s="76"/>
      <c r="C1018" s="76"/>
      <c r="D1018" s="76"/>
      <c r="E1018" s="76"/>
      <c r="F1018" s="76"/>
      <c r="G1018" s="76"/>
      <c r="H1018" s="76"/>
      <c r="I1018" s="76"/>
      <c r="J1018" s="76"/>
      <c r="K1018" s="76"/>
      <c r="L1018" s="76"/>
      <c r="M1018" s="76"/>
      <c r="N1018" s="76"/>
      <c r="O1018" s="76"/>
      <c r="P1018" s="76"/>
      <c r="Q1018" s="76"/>
      <c r="R1018" s="76"/>
    </row>
    <row r="1019" customFormat="false" ht="12.75" hidden="false" customHeight="false" outlineLevel="0" collapsed="false">
      <c r="A1019" s="76"/>
      <c r="B1019" s="76"/>
      <c r="C1019" s="76"/>
      <c r="D1019" s="76"/>
      <c r="E1019" s="76"/>
      <c r="F1019" s="76"/>
      <c r="G1019" s="76"/>
      <c r="H1019" s="76"/>
      <c r="I1019" s="76"/>
      <c r="J1019" s="76"/>
      <c r="K1019" s="76"/>
      <c r="L1019" s="76"/>
      <c r="M1019" s="76"/>
      <c r="N1019" s="76"/>
      <c r="O1019" s="76"/>
      <c r="P1019" s="76"/>
      <c r="Q1019" s="76"/>
      <c r="R1019" s="76"/>
    </row>
    <row r="1020" customFormat="false" ht="12.75" hidden="false" customHeight="false" outlineLevel="0" collapsed="false">
      <c r="A1020" s="76"/>
      <c r="B1020" s="76"/>
      <c r="C1020" s="76"/>
      <c r="D1020" s="76"/>
      <c r="E1020" s="76"/>
      <c r="F1020" s="76"/>
      <c r="G1020" s="76"/>
      <c r="H1020" s="76"/>
      <c r="I1020" s="76"/>
      <c r="J1020" s="76"/>
      <c r="K1020" s="76"/>
      <c r="L1020" s="76"/>
      <c r="M1020" s="76"/>
      <c r="N1020" s="76"/>
      <c r="O1020" s="76"/>
      <c r="P1020" s="76"/>
      <c r="Q1020" s="76"/>
      <c r="R1020" s="76"/>
    </row>
    <row r="1021" customFormat="false" ht="12.75" hidden="false" customHeight="false" outlineLevel="0" collapsed="false">
      <c r="A1021" s="76"/>
      <c r="B1021" s="76"/>
      <c r="C1021" s="76"/>
      <c r="D1021" s="76"/>
      <c r="E1021" s="76"/>
      <c r="F1021" s="76"/>
      <c r="G1021" s="76"/>
      <c r="H1021" s="76"/>
      <c r="I1021" s="76"/>
      <c r="J1021" s="76"/>
      <c r="K1021" s="76"/>
      <c r="L1021" s="76"/>
      <c r="M1021" s="76"/>
      <c r="N1021" s="76"/>
      <c r="O1021" s="76"/>
      <c r="P1021" s="76"/>
      <c r="Q1021" s="76"/>
      <c r="R1021" s="76"/>
    </row>
    <row r="1022" customFormat="false" ht="12.75" hidden="false" customHeight="false" outlineLevel="0" collapsed="false">
      <c r="A1022" s="76"/>
      <c r="B1022" s="76"/>
      <c r="C1022" s="76"/>
      <c r="D1022" s="76"/>
      <c r="E1022" s="76"/>
      <c r="F1022" s="76"/>
      <c r="G1022" s="76"/>
      <c r="H1022" s="76"/>
      <c r="I1022" s="76"/>
      <c r="J1022" s="76"/>
      <c r="K1022" s="76"/>
      <c r="L1022" s="76"/>
      <c r="M1022" s="76"/>
      <c r="N1022" s="76"/>
      <c r="O1022" s="76"/>
      <c r="P1022" s="76"/>
      <c r="Q1022" s="76"/>
      <c r="R1022" s="76"/>
    </row>
    <row r="1023" customFormat="false" ht="12.75" hidden="false" customHeight="false" outlineLevel="0" collapsed="false">
      <c r="A1023" s="76"/>
      <c r="B1023" s="76"/>
      <c r="C1023" s="76"/>
      <c r="D1023" s="76"/>
      <c r="E1023" s="76"/>
      <c r="F1023" s="76"/>
      <c r="G1023" s="76"/>
      <c r="H1023" s="76"/>
      <c r="I1023" s="76"/>
      <c r="J1023" s="76"/>
      <c r="K1023" s="76"/>
      <c r="L1023" s="76"/>
      <c r="M1023" s="76"/>
      <c r="N1023" s="76"/>
      <c r="O1023" s="76"/>
      <c r="P1023" s="76"/>
      <c r="Q1023" s="76"/>
      <c r="R1023" s="76"/>
    </row>
    <row r="1024" customFormat="false" ht="12.75" hidden="false" customHeight="false" outlineLevel="0" collapsed="false">
      <c r="A1024" s="76"/>
      <c r="B1024" s="76"/>
      <c r="C1024" s="76"/>
      <c r="D1024" s="76"/>
      <c r="E1024" s="76"/>
      <c r="F1024" s="76"/>
      <c r="G1024" s="76"/>
      <c r="H1024" s="76"/>
      <c r="I1024" s="76"/>
      <c r="J1024" s="76"/>
      <c r="K1024" s="76"/>
      <c r="L1024" s="76"/>
      <c r="M1024" s="76"/>
      <c r="N1024" s="76"/>
      <c r="O1024" s="76"/>
      <c r="P1024" s="76"/>
      <c r="Q1024" s="76"/>
      <c r="R1024" s="76"/>
    </row>
    <row r="1025" customFormat="false" ht="12.75" hidden="false" customHeight="false" outlineLevel="0" collapsed="false">
      <c r="A1025" s="76"/>
      <c r="B1025" s="76"/>
      <c r="C1025" s="76"/>
      <c r="D1025" s="76"/>
      <c r="E1025" s="76"/>
      <c r="F1025" s="76"/>
      <c r="G1025" s="76"/>
      <c r="H1025" s="76"/>
      <c r="I1025" s="76"/>
      <c r="J1025" s="76"/>
      <c r="K1025" s="76"/>
      <c r="L1025" s="76"/>
      <c r="M1025" s="76"/>
      <c r="N1025" s="76"/>
      <c r="O1025" s="76"/>
      <c r="P1025" s="76"/>
      <c r="Q1025" s="76"/>
      <c r="R1025" s="76"/>
    </row>
    <row r="1026" customFormat="false" ht="12.75" hidden="false" customHeight="false" outlineLevel="0" collapsed="false">
      <c r="A1026" s="76"/>
      <c r="B1026" s="76"/>
      <c r="C1026" s="76"/>
      <c r="D1026" s="76"/>
      <c r="E1026" s="76"/>
      <c r="F1026" s="76"/>
      <c r="G1026" s="76"/>
      <c r="H1026" s="76"/>
      <c r="I1026" s="76"/>
      <c r="J1026" s="76"/>
      <c r="K1026" s="76"/>
      <c r="L1026" s="76"/>
      <c r="M1026" s="76"/>
      <c r="N1026" s="76"/>
      <c r="O1026" s="76"/>
      <c r="P1026" s="76"/>
      <c r="Q1026" s="76"/>
      <c r="R1026" s="76"/>
    </row>
    <row r="1027" customFormat="false" ht="12.75" hidden="false" customHeight="false" outlineLevel="0" collapsed="false">
      <c r="A1027" s="76"/>
      <c r="B1027" s="76"/>
      <c r="C1027" s="76"/>
      <c r="D1027" s="76"/>
      <c r="E1027" s="76"/>
      <c r="F1027" s="76"/>
      <c r="G1027" s="76"/>
      <c r="H1027" s="76"/>
      <c r="I1027" s="76"/>
      <c r="J1027" s="76"/>
      <c r="K1027" s="76"/>
      <c r="L1027" s="76"/>
      <c r="M1027" s="76"/>
      <c r="N1027" s="76"/>
      <c r="O1027" s="76"/>
      <c r="P1027" s="76"/>
      <c r="Q1027" s="76"/>
      <c r="R1027" s="76"/>
    </row>
    <row r="1028" customFormat="false" ht="12.75" hidden="false" customHeight="false" outlineLevel="0" collapsed="false">
      <c r="A1028" s="76"/>
      <c r="B1028" s="76"/>
      <c r="C1028" s="76"/>
      <c r="D1028" s="76"/>
      <c r="E1028" s="76"/>
      <c r="F1028" s="76"/>
      <c r="G1028" s="76"/>
      <c r="H1028" s="76"/>
      <c r="I1028" s="76"/>
      <c r="J1028" s="76"/>
      <c r="K1028" s="76"/>
      <c r="L1028" s="76"/>
      <c r="M1028" s="76"/>
      <c r="N1028" s="76"/>
      <c r="O1028" s="76"/>
      <c r="P1028" s="76"/>
      <c r="Q1028" s="76"/>
      <c r="R1028" s="76"/>
    </row>
    <row r="1029" customFormat="false" ht="12.75" hidden="false" customHeight="false" outlineLevel="0" collapsed="false">
      <c r="A1029" s="76"/>
      <c r="B1029" s="76"/>
      <c r="C1029" s="76"/>
      <c r="D1029" s="76"/>
      <c r="E1029" s="76"/>
      <c r="F1029" s="76"/>
      <c r="G1029" s="76"/>
      <c r="H1029" s="76"/>
      <c r="I1029" s="76"/>
      <c r="J1029" s="76"/>
      <c r="K1029" s="76"/>
      <c r="L1029" s="76"/>
      <c r="M1029" s="76"/>
      <c r="N1029" s="76"/>
      <c r="O1029" s="76"/>
      <c r="P1029" s="76"/>
      <c r="Q1029" s="76"/>
      <c r="R1029" s="76"/>
    </row>
    <row r="1030" customFormat="false" ht="12.75" hidden="false" customHeight="false" outlineLevel="0" collapsed="false">
      <c r="A1030" s="76"/>
      <c r="B1030" s="76"/>
      <c r="C1030" s="76"/>
      <c r="D1030" s="76"/>
      <c r="E1030" s="76"/>
      <c r="F1030" s="76"/>
      <c r="G1030" s="76"/>
      <c r="H1030" s="76"/>
      <c r="I1030" s="76"/>
      <c r="J1030" s="76"/>
      <c r="K1030" s="76"/>
      <c r="L1030" s="76"/>
      <c r="M1030" s="76"/>
      <c r="N1030" s="76"/>
      <c r="O1030" s="76"/>
      <c r="P1030" s="76"/>
      <c r="Q1030" s="76"/>
      <c r="R1030" s="76"/>
    </row>
    <row r="1031" customFormat="false" ht="12.75" hidden="false" customHeight="false" outlineLevel="0" collapsed="false">
      <c r="A1031" s="76"/>
      <c r="B1031" s="76"/>
      <c r="C1031" s="76"/>
      <c r="D1031" s="76"/>
      <c r="E1031" s="76"/>
      <c r="F1031" s="76"/>
      <c r="G1031" s="76"/>
      <c r="H1031" s="76"/>
      <c r="I1031" s="76"/>
      <c r="J1031" s="76"/>
      <c r="K1031" s="76"/>
      <c r="L1031" s="76"/>
      <c r="M1031" s="76"/>
      <c r="N1031" s="76"/>
      <c r="O1031" s="76"/>
      <c r="P1031" s="76"/>
      <c r="Q1031" s="76"/>
      <c r="R1031" s="76"/>
    </row>
    <row r="1032" customFormat="false" ht="12.75" hidden="false" customHeight="false" outlineLevel="0" collapsed="false">
      <c r="A1032" s="76"/>
      <c r="B1032" s="76"/>
      <c r="C1032" s="76"/>
      <c r="D1032" s="76"/>
      <c r="E1032" s="76"/>
      <c r="F1032" s="76"/>
      <c r="G1032" s="76"/>
      <c r="H1032" s="76"/>
      <c r="I1032" s="76"/>
      <c r="J1032" s="76"/>
      <c r="K1032" s="76"/>
      <c r="L1032" s="76"/>
      <c r="M1032" s="76"/>
      <c r="N1032" s="76"/>
      <c r="O1032" s="76"/>
      <c r="P1032" s="76"/>
      <c r="Q1032" s="76"/>
      <c r="R1032" s="76"/>
    </row>
    <row r="1033" customFormat="false" ht="12.75" hidden="false" customHeight="false" outlineLevel="0" collapsed="false">
      <c r="A1033" s="76"/>
      <c r="B1033" s="76"/>
      <c r="C1033" s="76"/>
      <c r="D1033" s="76"/>
      <c r="E1033" s="76"/>
      <c r="F1033" s="76"/>
      <c r="G1033" s="76"/>
      <c r="H1033" s="76"/>
      <c r="I1033" s="76"/>
      <c r="J1033" s="76"/>
      <c r="K1033" s="76"/>
      <c r="L1033" s="76"/>
      <c r="M1033" s="76"/>
      <c r="N1033" s="76"/>
      <c r="O1033" s="76"/>
      <c r="P1033" s="76"/>
      <c r="Q1033" s="76"/>
      <c r="R1033" s="76"/>
    </row>
    <row r="1034" customFormat="false" ht="12.75" hidden="false" customHeight="false" outlineLevel="0" collapsed="false">
      <c r="A1034" s="76"/>
      <c r="B1034" s="76"/>
      <c r="C1034" s="76"/>
      <c r="D1034" s="76"/>
      <c r="E1034" s="76"/>
      <c r="F1034" s="76"/>
      <c r="G1034" s="76"/>
      <c r="H1034" s="76"/>
      <c r="I1034" s="76"/>
      <c r="J1034" s="76"/>
      <c r="K1034" s="76"/>
      <c r="L1034" s="76"/>
      <c r="M1034" s="76"/>
      <c r="N1034" s="76"/>
      <c r="O1034" s="76"/>
      <c r="P1034" s="76"/>
      <c r="Q1034" s="76"/>
      <c r="R1034" s="76"/>
    </row>
    <row r="1035" customFormat="false" ht="12.75" hidden="false" customHeight="false" outlineLevel="0" collapsed="false">
      <c r="A1035" s="76"/>
      <c r="B1035" s="76"/>
      <c r="C1035" s="76"/>
      <c r="D1035" s="76"/>
      <c r="E1035" s="76"/>
      <c r="F1035" s="76"/>
      <c r="G1035" s="76"/>
      <c r="H1035" s="76"/>
      <c r="I1035" s="76"/>
      <c r="J1035" s="76"/>
      <c r="K1035" s="76"/>
      <c r="L1035" s="76"/>
      <c r="M1035" s="76"/>
      <c r="N1035" s="76"/>
      <c r="O1035" s="76"/>
      <c r="P1035" s="76"/>
      <c r="Q1035" s="76"/>
      <c r="R1035" s="76"/>
    </row>
    <row r="1036" customFormat="false" ht="12.75" hidden="false" customHeight="false" outlineLevel="0" collapsed="false">
      <c r="A1036" s="76"/>
      <c r="B1036" s="76"/>
      <c r="C1036" s="76"/>
      <c r="D1036" s="76"/>
      <c r="E1036" s="76"/>
      <c r="F1036" s="76"/>
      <c r="G1036" s="76"/>
      <c r="H1036" s="76"/>
      <c r="I1036" s="76"/>
      <c r="J1036" s="76"/>
      <c r="K1036" s="76"/>
      <c r="L1036" s="76"/>
      <c r="M1036" s="76"/>
      <c r="N1036" s="76"/>
      <c r="O1036" s="76"/>
      <c r="P1036" s="76"/>
      <c r="Q1036" s="76"/>
      <c r="R1036" s="76"/>
    </row>
    <row r="1037" customFormat="false" ht="12.75" hidden="false" customHeight="false" outlineLevel="0" collapsed="false">
      <c r="A1037" s="76"/>
      <c r="B1037" s="76"/>
      <c r="C1037" s="76"/>
      <c r="D1037" s="76"/>
      <c r="E1037" s="76"/>
      <c r="F1037" s="76"/>
      <c r="G1037" s="76"/>
      <c r="H1037" s="76"/>
      <c r="I1037" s="76"/>
      <c r="J1037" s="76"/>
      <c r="K1037" s="76"/>
      <c r="L1037" s="76"/>
      <c r="M1037" s="76"/>
      <c r="N1037" s="76"/>
      <c r="O1037" s="76"/>
      <c r="P1037" s="76"/>
      <c r="Q1037" s="76"/>
      <c r="R1037" s="76"/>
    </row>
    <row r="1038" customFormat="false" ht="12.75" hidden="false" customHeight="false" outlineLevel="0" collapsed="false">
      <c r="A1038" s="76"/>
      <c r="B1038" s="76"/>
      <c r="C1038" s="76"/>
      <c r="D1038" s="76"/>
      <c r="E1038" s="76"/>
      <c r="F1038" s="76"/>
      <c r="G1038" s="76"/>
      <c r="H1038" s="76"/>
      <c r="I1038" s="76"/>
      <c r="J1038" s="76"/>
      <c r="K1038" s="76"/>
      <c r="L1038" s="76"/>
      <c r="M1038" s="76"/>
      <c r="N1038" s="76"/>
      <c r="O1038" s="76"/>
      <c r="P1038" s="76"/>
      <c r="Q1038" s="76"/>
      <c r="R1038" s="76"/>
    </row>
    <row r="1039" customFormat="false" ht="12.75" hidden="false" customHeight="false" outlineLevel="0" collapsed="false">
      <c r="A1039" s="76"/>
      <c r="B1039" s="76"/>
      <c r="C1039" s="76"/>
      <c r="D1039" s="76"/>
      <c r="E1039" s="76"/>
      <c r="F1039" s="76"/>
      <c r="G1039" s="76"/>
      <c r="H1039" s="76"/>
      <c r="I1039" s="76"/>
      <c r="J1039" s="76"/>
      <c r="K1039" s="76"/>
      <c r="L1039" s="76"/>
      <c r="M1039" s="76"/>
      <c r="N1039" s="76"/>
      <c r="O1039" s="76"/>
      <c r="P1039" s="76"/>
      <c r="Q1039" s="76"/>
      <c r="R1039" s="76"/>
    </row>
    <row r="1040" customFormat="false" ht="12.75" hidden="false" customHeight="false" outlineLevel="0" collapsed="false">
      <c r="A1040" s="76"/>
      <c r="B1040" s="76"/>
      <c r="C1040" s="76"/>
      <c r="D1040" s="76"/>
      <c r="E1040" s="76"/>
      <c r="F1040" s="76"/>
      <c r="G1040" s="76"/>
      <c r="H1040" s="76"/>
      <c r="I1040" s="76"/>
      <c r="J1040" s="76"/>
      <c r="K1040" s="76"/>
      <c r="L1040" s="76"/>
      <c r="M1040" s="76"/>
      <c r="N1040" s="76"/>
      <c r="O1040" s="76"/>
      <c r="P1040" s="76"/>
      <c r="Q1040" s="76"/>
      <c r="R1040" s="76"/>
    </row>
    <row r="1041" customFormat="false" ht="12.75" hidden="false" customHeight="false" outlineLevel="0" collapsed="false">
      <c r="A1041" s="76"/>
      <c r="B1041" s="76"/>
      <c r="C1041" s="76"/>
      <c r="D1041" s="76"/>
      <c r="E1041" s="76"/>
      <c r="F1041" s="76"/>
      <c r="G1041" s="76"/>
      <c r="H1041" s="76"/>
      <c r="I1041" s="76"/>
      <c r="J1041" s="76"/>
      <c r="K1041" s="76"/>
      <c r="L1041" s="76"/>
      <c r="M1041" s="76"/>
      <c r="N1041" s="76"/>
      <c r="O1041" s="76"/>
      <c r="P1041" s="76"/>
      <c r="Q1041" s="76"/>
      <c r="R1041" s="76"/>
    </row>
    <row r="1042" customFormat="false" ht="12.75" hidden="false" customHeight="false" outlineLevel="0" collapsed="false">
      <c r="A1042" s="76"/>
      <c r="B1042" s="76"/>
      <c r="C1042" s="76"/>
      <c r="D1042" s="76"/>
      <c r="E1042" s="76"/>
      <c r="F1042" s="76"/>
      <c r="G1042" s="76"/>
      <c r="H1042" s="76"/>
      <c r="I1042" s="76"/>
      <c r="J1042" s="76"/>
      <c r="K1042" s="76"/>
      <c r="L1042" s="76"/>
      <c r="M1042" s="76"/>
      <c r="N1042" s="76"/>
      <c r="O1042" s="76"/>
      <c r="P1042" s="76"/>
      <c r="Q1042" s="76"/>
      <c r="R1042" s="76"/>
    </row>
    <row r="1043" customFormat="false" ht="12.75" hidden="false" customHeight="false" outlineLevel="0" collapsed="false">
      <c r="A1043" s="76"/>
      <c r="B1043" s="76"/>
      <c r="C1043" s="76"/>
      <c r="D1043" s="76"/>
      <c r="E1043" s="76"/>
      <c r="F1043" s="76"/>
      <c r="G1043" s="76"/>
      <c r="H1043" s="76"/>
      <c r="I1043" s="76"/>
      <c r="J1043" s="76"/>
      <c r="K1043" s="76"/>
      <c r="L1043" s="76"/>
      <c r="M1043" s="76"/>
      <c r="N1043" s="76"/>
      <c r="O1043" s="76"/>
      <c r="P1043" s="76"/>
      <c r="Q1043" s="76"/>
      <c r="R1043" s="76"/>
    </row>
    <row r="1044" customFormat="false" ht="12.75" hidden="false" customHeight="false" outlineLevel="0" collapsed="false">
      <c r="A1044" s="76"/>
      <c r="B1044" s="76"/>
      <c r="C1044" s="76"/>
      <c r="D1044" s="76"/>
      <c r="E1044" s="76"/>
      <c r="F1044" s="76"/>
      <c r="G1044" s="76"/>
      <c r="H1044" s="76"/>
      <c r="I1044" s="76"/>
      <c r="J1044" s="76"/>
      <c r="K1044" s="76"/>
      <c r="L1044" s="76"/>
      <c r="M1044" s="76"/>
      <c r="N1044" s="76"/>
      <c r="O1044" s="76"/>
      <c r="P1044" s="76"/>
      <c r="Q1044" s="76"/>
      <c r="R1044" s="76"/>
    </row>
    <row r="1045" customFormat="false" ht="12.75" hidden="false" customHeight="false" outlineLevel="0" collapsed="false">
      <c r="A1045" s="76"/>
      <c r="B1045" s="76"/>
      <c r="C1045" s="76"/>
      <c r="D1045" s="76"/>
      <c r="E1045" s="76"/>
      <c r="F1045" s="76"/>
      <c r="G1045" s="76"/>
      <c r="H1045" s="76"/>
      <c r="I1045" s="76"/>
      <c r="J1045" s="76"/>
      <c r="K1045" s="76"/>
      <c r="L1045" s="76"/>
      <c r="M1045" s="76"/>
      <c r="N1045" s="76"/>
      <c r="O1045" s="76"/>
      <c r="P1045" s="76"/>
      <c r="Q1045" s="76"/>
      <c r="R1045" s="76"/>
    </row>
    <row r="1046" customFormat="false" ht="12.75" hidden="false" customHeight="false" outlineLevel="0" collapsed="false">
      <c r="A1046" s="76"/>
      <c r="B1046" s="76"/>
      <c r="C1046" s="76"/>
      <c r="D1046" s="76"/>
      <c r="E1046" s="76"/>
      <c r="F1046" s="76"/>
      <c r="G1046" s="76"/>
      <c r="H1046" s="76"/>
      <c r="I1046" s="76"/>
      <c r="J1046" s="76"/>
      <c r="K1046" s="76"/>
      <c r="L1046" s="76"/>
      <c r="M1046" s="76"/>
      <c r="N1046" s="76"/>
      <c r="O1046" s="76"/>
      <c r="P1046" s="76"/>
      <c r="Q1046" s="76"/>
      <c r="R1046" s="76"/>
    </row>
    <row r="1047" customFormat="false" ht="12.75" hidden="false" customHeight="false" outlineLevel="0" collapsed="false">
      <c r="A1047" s="76"/>
      <c r="B1047" s="76"/>
      <c r="C1047" s="76"/>
      <c r="D1047" s="76"/>
      <c r="E1047" s="76"/>
      <c r="F1047" s="76"/>
      <c r="G1047" s="76"/>
      <c r="H1047" s="76"/>
      <c r="I1047" s="76"/>
      <c r="J1047" s="76"/>
      <c r="K1047" s="76"/>
      <c r="L1047" s="76"/>
      <c r="M1047" s="76"/>
      <c r="N1047" s="76"/>
      <c r="O1047" s="76"/>
      <c r="P1047" s="76"/>
      <c r="Q1047" s="76"/>
      <c r="R1047" s="76"/>
    </row>
    <row r="1048" customFormat="false" ht="12.75" hidden="false" customHeight="false" outlineLevel="0" collapsed="false">
      <c r="A1048" s="76"/>
      <c r="B1048" s="76"/>
      <c r="C1048" s="76"/>
      <c r="D1048" s="76"/>
      <c r="E1048" s="76"/>
      <c r="F1048" s="76"/>
      <c r="G1048" s="76"/>
      <c r="H1048" s="76"/>
      <c r="I1048" s="76"/>
      <c r="J1048" s="76"/>
      <c r="K1048" s="76"/>
      <c r="L1048" s="76"/>
      <c r="M1048" s="76"/>
      <c r="N1048" s="76"/>
      <c r="O1048" s="76"/>
      <c r="P1048" s="76"/>
      <c r="Q1048" s="76"/>
      <c r="R1048" s="76"/>
    </row>
  </sheetData>
  <sheetProtection algorithmName="SHA-512" hashValue="iCSerfqvcKo1qxoYEijKvKZRQmF4T2y5RzhcsRAnQ1JaD+FFCU41QlRTjCUtw3pC1fqLKFmaA1oe+/Lp9yUAfg==" saltValue="QhkfayPxorDwCrOrx/pWuA==" spinCount="100000" sheet="true" objects="true" scenarios="true" selectLockedCells="true"/>
  <mergeCells count="60">
    <mergeCell ref="C1:J1"/>
    <mergeCell ref="L1:R1"/>
    <mergeCell ref="D3:I3"/>
    <mergeCell ref="K3:O3"/>
    <mergeCell ref="K4:M4"/>
    <mergeCell ref="Q4:R4"/>
    <mergeCell ref="A6:R6"/>
    <mergeCell ref="A7:R7"/>
    <mergeCell ref="A8:C8"/>
    <mergeCell ref="D8:G8"/>
    <mergeCell ref="H8:K9"/>
    <mergeCell ref="M8:R10"/>
    <mergeCell ref="A9:A10"/>
    <mergeCell ref="B9:B10"/>
    <mergeCell ref="C9:C10"/>
    <mergeCell ref="D9:E9"/>
    <mergeCell ref="F9:F10"/>
    <mergeCell ref="G9:G10"/>
    <mergeCell ref="H10:K10"/>
    <mergeCell ref="H11:K11"/>
    <mergeCell ref="M11:R11"/>
    <mergeCell ref="H12:K12"/>
    <mergeCell ref="M12:R12"/>
    <mergeCell ref="H13:K13"/>
    <mergeCell ref="M13:R13"/>
    <mergeCell ref="H14:K14"/>
    <mergeCell ref="M14:R14"/>
    <mergeCell ref="H15:K15"/>
    <mergeCell ref="M15:R15"/>
    <mergeCell ref="H16:K16"/>
    <mergeCell ref="M16:R16"/>
    <mergeCell ref="H17:K17"/>
    <mergeCell ref="M17:R17"/>
    <mergeCell ref="H18:K18"/>
    <mergeCell ref="M18:R18"/>
    <mergeCell ref="H19:K19"/>
    <mergeCell ref="M19:R19"/>
    <mergeCell ref="H20:K20"/>
    <mergeCell ref="M20:R20"/>
    <mergeCell ref="H21:K21"/>
    <mergeCell ref="M21:R21"/>
    <mergeCell ref="H22:K22"/>
    <mergeCell ref="M22:R22"/>
    <mergeCell ref="H23:K23"/>
    <mergeCell ref="M23:R23"/>
    <mergeCell ref="H24:K24"/>
    <mergeCell ref="M24:R24"/>
    <mergeCell ref="H25:K25"/>
    <mergeCell ref="M25:R25"/>
    <mergeCell ref="H27:J27"/>
    <mergeCell ref="K27:N27"/>
    <mergeCell ref="C28:H28"/>
    <mergeCell ref="A29:H29"/>
    <mergeCell ref="G30:J30"/>
    <mergeCell ref="J33:L33"/>
    <mergeCell ref="A36:R36"/>
    <mergeCell ref="A37:R37"/>
    <mergeCell ref="D39:H39"/>
    <mergeCell ref="I39:J39"/>
    <mergeCell ref="H43:K43"/>
  </mergeCells>
  <conditionalFormatting sqref="K3:O3">
    <cfRule type="cellIs" priority="2" operator="equal" aboveAverage="0" equalAverage="0" bottom="0" percent="0" rank="0" text="" dxfId="0">
      <formula>""</formula>
    </cfRule>
  </conditionalFormatting>
  <conditionalFormatting sqref="K4:M4 J33:L33">
    <cfRule type="cellIs" priority="3" operator="equal" aboveAverage="0" equalAverage="0" bottom="0" percent="0" rank="0" text="" dxfId="1">
      <formula>""</formula>
    </cfRule>
  </conditionalFormatting>
  <conditionalFormatting sqref="C1:J1 D3:I3 Q3 Q4:R4 O4:O5">
    <cfRule type="cellIs" priority="4" operator="equal" aboveAverage="0" equalAverage="0" bottom="0" percent="0" rank="0" text="" dxfId="2">
      <formula>""</formula>
    </cfRule>
  </conditionalFormatting>
  <printOptions headings="false" gridLines="false" gridLinesSet="true" horizontalCentered="false" verticalCentered="false"/>
  <pageMargins left="0.236111111111111" right="0.236111111111111" top="0.315277777777778" bottom="0.354166666666667" header="0.511811023622047" footer="0.35416666666666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&amp;R&amp;8 &amp;F 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S5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G4" activeCellId="0" sqref="G4"/>
    </sheetView>
  </sheetViews>
  <sheetFormatPr defaultColWidth="11.4453125" defaultRowHeight="12.75" zeroHeight="false" outlineLevelRow="0" outlineLevelCol="0"/>
  <cols>
    <col collapsed="false" customWidth="true" hidden="false" outlineLevel="0" max="3" min="1" style="77" width="4.57"/>
    <col collapsed="false" customWidth="true" hidden="false" outlineLevel="0" max="4" min="4" style="77" width="6.01"/>
    <col collapsed="false" customWidth="true" hidden="false" outlineLevel="0" max="5" min="5" style="77" width="4.42"/>
    <col collapsed="false" customWidth="true" hidden="false" outlineLevel="0" max="6" min="6" style="77" width="5.14"/>
    <col collapsed="false" customWidth="true" hidden="false" outlineLevel="0" max="7" min="7" style="77" width="9"/>
    <col collapsed="false" customWidth="true" hidden="false" outlineLevel="0" max="8" min="8" style="77" width="8.71"/>
    <col collapsed="false" customWidth="true" hidden="false" outlineLevel="0" max="9" min="9" style="77" width="9.71"/>
    <col collapsed="false" customWidth="true" hidden="false" outlineLevel="0" max="10" min="10" style="77" width="10.71"/>
    <col collapsed="false" customWidth="true" hidden="false" outlineLevel="0" max="11" min="11" style="77" width="5.14"/>
    <col collapsed="false" customWidth="true" hidden="false" outlineLevel="0" max="12" min="12" style="77" width="4.71"/>
    <col collapsed="false" customWidth="true" hidden="false" outlineLevel="0" max="13" min="13" style="77" width="4.29"/>
    <col collapsed="false" customWidth="true" hidden="false" outlineLevel="0" max="14" min="14" style="77" width="5.57"/>
    <col collapsed="false" customWidth="true" hidden="false" outlineLevel="0" max="16" min="15" style="77" width="5.7"/>
    <col collapsed="false" customWidth="false" hidden="false" outlineLevel="0" max="17" min="17" style="78" width="11.43"/>
    <col collapsed="false" customWidth="true" hidden="false" outlineLevel="0" max="18" min="18" style="78" width="10.99"/>
    <col collapsed="false" customWidth="true" hidden="false" outlineLevel="0" max="19" min="19" style="77" width="9.42"/>
    <col collapsed="false" customWidth="false" hidden="false" outlineLevel="0" max="1024" min="20" style="77" width="11.43"/>
  </cols>
  <sheetData>
    <row r="1" customFormat="false" ht="21.75" hidden="false" customHeight="true" outlineLevel="0" collapsed="false">
      <c r="A1" s="79" t="s">
        <v>38</v>
      </c>
      <c r="B1" s="79"/>
      <c r="C1" s="79"/>
      <c r="D1" s="79"/>
      <c r="E1" s="79"/>
      <c r="F1" s="79"/>
      <c r="G1" s="79"/>
      <c r="H1" s="79"/>
      <c r="I1" s="80"/>
      <c r="J1" s="81"/>
      <c r="K1" s="81"/>
      <c r="L1" s="81"/>
      <c r="M1" s="81"/>
      <c r="N1" s="81"/>
      <c r="O1" s="81"/>
      <c r="P1" s="81"/>
    </row>
    <row r="2" customFormat="false" ht="13.5" hidden="false" customHeight="true" outlineLevel="0" collapsed="false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3" customFormat="false" ht="24.75" hidden="false" customHeight="true" outlineLevel="0" collapsed="false">
      <c r="A3" s="83" t="s">
        <v>39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4"/>
      <c r="R3" s="84"/>
      <c r="S3" s="85"/>
    </row>
    <row r="4" customFormat="false" ht="11.25" hidden="false" customHeight="true" outlineLevel="0" collapsed="false">
      <c r="A4" s="86"/>
      <c r="B4" s="86"/>
      <c r="C4" s="81"/>
      <c r="D4" s="81"/>
      <c r="E4" s="81"/>
      <c r="F4" s="81"/>
      <c r="G4" s="87"/>
      <c r="H4" s="87"/>
      <c r="I4" s="87"/>
      <c r="J4" s="87"/>
      <c r="K4" s="87"/>
      <c r="L4" s="87"/>
      <c r="M4" s="87"/>
      <c r="N4" s="87"/>
      <c r="O4" s="87"/>
      <c r="P4" s="87"/>
      <c r="Q4" s="84"/>
      <c r="R4" s="84"/>
      <c r="S4" s="85"/>
    </row>
    <row r="5" customFormat="false" ht="6" hidden="false" customHeight="true" outlineLevel="0" collapsed="false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</row>
    <row r="6" customFormat="false" ht="22.5" hidden="false" customHeight="true" outlineLevel="0" collapsed="false">
      <c r="A6" s="88" t="s">
        <v>16</v>
      </c>
      <c r="B6" s="88"/>
      <c r="C6" s="88"/>
      <c r="D6" s="88" t="s">
        <v>17</v>
      </c>
      <c r="E6" s="88"/>
      <c r="F6" s="88"/>
      <c r="G6" s="89" t="s">
        <v>40</v>
      </c>
      <c r="H6" s="89"/>
      <c r="I6" s="89"/>
      <c r="J6" s="89"/>
      <c r="K6" s="89"/>
      <c r="L6" s="89"/>
      <c r="M6" s="89"/>
      <c r="N6" s="90" t="s">
        <v>41</v>
      </c>
      <c r="O6" s="90" t="s">
        <v>42</v>
      </c>
      <c r="P6" s="91" t="s">
        <v>43</v>
      </c>
    </row>
    <row r="7" customFormat="false" ht="21.75" hidden="false" customHeight="true" outlineLevel="0" collapsed="false">
      <c r="A7" s="92" t="s">
        <v>21</v>
      </c>
      <c r="B7" s="93" t="s">
        <v>22</v>
      </c>
      <c r="C7" s="94" t="s">
        <v>23</v>
      </c>
      <c r="D7" s="92" t="s">
        <v>21</v>
      </c>
      <c r="E7" s="93" t="s">
        <v>22</v>
      </c>
      <c r="F7" s="94" t="s">
        <v>23</v>
      </c>
      <c r="G7" s="89"/>
      <c r="H7" s="89"/>
      <c r="I7" s="89"/>
      <c r="J7" s="89"/>
      <c r="K7" s="89"/>
      <c r="L7" s="89"/>
      <c r="M7" s="89"/>
      <c r="N7" s="90"/>
      <c r="O7" s="90"/>
      <c r="P7" s="91"/>
    </row>
    <row r="8" customFormat="false" ht="15" hidden="false" customHeight="true" outlineLevel="0" collapsed="false">
      <c r="A8" s="95" t="str">
        <f aca="false">IF(Anverso!A11&gt;0,Anverso!A11,"")</f>
        <v/>
      </c>
      <c r="B8" s="96" t="n">
        <f aca="false">Anverso!B11</f>
        <v>0</v>
      </c>
      <c r="C8" s="97" t="n">
        <f aca="false">Anverso!C11</f>
        <v>0</v>
      </c>
      <c r="D8" s="98"/>
      <c r="E8" s="96" t="n">
        <f aca="false">Anverso!F11</f>
        <v>0</v>
      </c>
      <c r="F8" s="97" t="n">
        <f aca="false">Anverso!G11</f>
        <v>0</v>
      </c>
      <c r="G8" s="99" t="str">
        <f aca="false">IF(Anverso!H11&gt;0,UPPER(Anverso!H$27)&amp;"-"&amp;UPPER(Anverso!H11)&amp;"-"&amp;UPPER(Anverso!H$27),"")</f>
        <v/>
      </c>
      <c r="H8" s="99"/>
      <c r="I8" s="99"/>
      <c r="J8" s="99"/>
      <c r="K8" s="99"/>
      <c r="L8" s="99"/>
      <c r="M8" s="99"/>
      <c r="N8" s="100"/>
      <c r="O8" s="101"/>
      <c r="P8" s="102"/>
    </row>
    <row r="9" customFormat="false" ht="15" hidden="false" customHeight="true" outlineLevel="0" collapsed="false">
      <c r="A9" s="95" t="str">
        <f aca="false">IF(Anverso!A12&gt;0,Anverso!A12,"")</f>
        <v/>
      </c>
      <c r="B9" s="96" t="n">
        <f aca="false">Anverso!B12</f>
        <v>0</v>
      </c>
      <c r="C9" s="97" t="n">
        <f aca="false">Anverso!C12</f>
        <v>0</v>
      </c>
      <c r="D9" s="98"/>
      <c r="E9" s="96" t="n">
        <f aca="false">Anverso!F12</f>
        <v>0</v>
      </c>
      <c r="F9" s="97" t="n">
        <f aca="false">Anverso!G12</f>
        <v>0</v>
      </c>
      <c r="G9" s="99" t="str">
        <f aca="false">IF(Anverso!H12&gt;0,UPPER(Anverso!H$27)&amp;"-"&amp;UPPER(Anverso!H12)&amp;"-"&amp;UPPER(Anverso!H$27),"")</f>
        <v/>
      </c>
      <c r="H9" s="99"/>
      <c r="I9" s="99"/>
      <c r="J9" s="99"/>
      <c r="K9" s="99"/>
      <c r="L9" s="99"/>
      <c r="M9" s="99"/>
      <c r="N9" s="103"/>
      <c r="O9" s="101"/>
      <c r="P9" s="104"/>
    </row>
    <row r="10" customFormat="false" ht="15" hidden="false" customHeight="true" outlineLevel="0" collapsed="false">
      <c r="A10" s="95" t="str">
        <f aca="false">IF(Anverso!A13&gt;0,Anverso!A13,"")</f>
        <v/>
      </c>
      <c r="B10" s="96" t="n">
        <f aca="false">Anverso!B13</f>
        <v>0</v>
      </c>
      <c r="C10" s="97" t="n">
        <f aca="false">Anverso!C13</f>
        <v>0</v>
      </c>
      <c r="D10" s="98"/>
      <c r="E10" s="96" t="n">
        <f aca="false">Anverso!F13</f>
        <v>0</v>
      </c>
      <c r="F10" s="97" t="n">
        <f aca="false">Anverso!G13</f>
        <v>0</v>
      </c>
      <c r="G10" s="99" t="str">
        <f aca="false">IF(Anverso!H13&gt;0,UPPER(Anverso!H$27)&amp;"-"&amp;UPPER(Anverso!H13)&amp;"-"&amp;UPPER(Anverso!H$27),"")</f>
        <v/>
      </c>
      <c r="H10" s="99"/>
      <c r="I10" s="99"/>
      <c r="J10" s="99"/>
      <c r="K10" s="99"/>
      <c r="L10" s="99"/>
      <c r="M10" s="99"/>
      <c r="N10" s="103"/>
      <c r="O10" s="101"/>
      <c r="P10" s="104"/>
    </row>
    <row r="11" customFormat="false" ht="15" hidden="false" customHeight="true" outlineLevel="0" collapsed="false">
      <c r="A11" s="95" t="str">
        <f aca="false">IF(Anverso!A14&gt;0,Anverso!A14,"")</f>
        <v/>
      </c>
      <c r="B11" s="96" t="n">
        <f aca="false">Anverso!B14</f>
        <v>0</v>
      </c>
      <c r="C11" s="97" t="n">
        <f aca="false">Anverso!C14</f>
        <v>0</v>
      </c>
      <c r="D11" s="98"/>
      <c r="E11" s="96" t="n">
        <f aca="false">Anverso!F14</f>
        <v>0</v>
      </c>
      <c r="F11" s="97" t="n">
        <f aca="false">Anverso!G14</f>
        <v>0</v>
      </c>
      <c r="G11" s="99" t="str">
        <f aca="false">IF(Anverso!H14&gt;0,UPPER(Anverso!H$27)&amp;"-"&amp;UPPER(Anverso!H14)&amp;"-"&amp;UPPER(Anverso!H$27),"")</f>
        <v/>
      </c>
      <c r="H11" s="99"/>
      <c r="I11" s="99"/>
      <c r="J11" s="99"/>
      <c r="K11" s="99"/>
      <c r="L11" s="99"/>
      <c r="M11" s="99"/>
      <c r="N11" s="103"/>
      <c r="O11" s="101"/>
      <c r="P11" s="104"/>
    </row>
    <row r="12" customFormat="false" ht="15" hidden="false" customHeight="true" outlineLevel="0" collapsed="false">
      <c r="A12" s="95" t="str">
        <f aca="false">IF(Anverso!A15&gt;0,Anverso!A15,"")</f>
        <v/>
      </c>
      <c r="B12" s="96" t="n">
        <f aca="false">Anverso!B15</f>
        <v>0</v>
      </c>
      <c r="C12" s="97" t="n">
        <f aca="false">Anverso!C15</f>
        <v>0</v>
      </c>
      <c r="D12" s="98"/>
      <c r="E12" s="96" t="n">
        <f aca="false">Anverso!F15</f>
        <v>0</v>
      </c>
      <c r="F12" s="97" t="n">
        <f aca="false">Anverso!G15</f>
        <v>0</v>
      </c>
      <c r="G12" s="99" t="str">
        <f aca="false">IF(Anverso!H15&gt;0,UPPER(Anverso!H$27)&amp;"-"&amp;UPPER(Anverso!H15)&amp;"-"&amp;UPPER(Anverso!H$27),"")</f>
        <v/>
      </c>
      <c r="H12" s="99"/>
      <c r="I12" s="99"/>
      <c r="J12" s="99"/>
      <c r="K12" s="99"/>
      <c r="L12" s="99"/>
      <c r="M12" s="99"/>
      <c r="N12" s="103"/>
      <c r="O12" s="101"/>
      <c r="P12" s="104"/>
    </row>
    <row r="13" customFormat="false" ht="15" hidden="false" customHeight="true" outlineLevel="0" collapsed="false">
      <c r="A13" s="95" t="str">
        <f aca="false">IF(Anverso!A16&gt;0,Anverso!A16,"")</f>
        <v/>
      </c>
      <c r="B13" s="96" t="n">
        <f aca="false">Anverso!B16</f>
        <v>0</v>
      </c>
      <c r="C13" s="97" t="n">
        <f aca="false">Anverso!C16</f>
        <v>0</v>
      </c>
      <c r="D13" s="98"/>
      <c r="E13" s="96" t="n">
        <f aca="false">Anverso!F16</f>
        <v>0</v>
      </c>
      <c r="F13" s="97" t="n">
        <f aca="false">Anverso!G16</f>
        <v>0</v>
      </c>
      <c r="G13" s="99" t="str">
        <f aca="false">IF(Anverso!H16&gt;0,UPPER(Anverso!H$27)&amp;"-"&amp;UPPER(Anverso!H16)&amp;"-"&amp;UPPER(Anverso!H$27),"")</f>
        <v/>
      </c>
      <c r="H13" s="99"/>
      <c r="I13" s="99"/>
      <c r="J13" s="99"/>
      <c r="K13" s="99"/>
      <c r="L13" s="99"/>
      <c r="M13" s="99"/>
      <c r="N13" s="103"/>
      <c r="O13" s="101"/>
      <c r="P13" s="104"/>
    </row>
    <row r="14" customFormat="false" ht="15" hidden="false" customHeight="true" outlineLevel="0" collapsed="false">
      <c r="A14" s="95" t="str">
        <f aca="false">IF(Anverso!A17&gt;0,Anverso!A17,"")</f>
        <v/>
      </c>
      <c r="B14" s="96" t="n">
        <f aca="false">Anverso!B17</f>
        <v>0</v>
      </c>
      <c r="C14" s="97" t="n">
        <f aca="false">Anverso!C17</f>
        <v>0</v>
      </c>
      <c r="D14" s="98"/>
      <c r="E14" s="96" t="n">
        <f aca="false">Anverso!F17</f>
        <v>0</v>
      </c>
      <c r="F14" s="97" t="n">
        <f aca="false">Anverso!G17</f>
        <v>0</v>
      </c>
      <c r="G14" s="99" t="str">
        <f aca="false">IF(Anverso!H17&gt;0,UPPER(Anverso!H$27)&amp;"-"&amp;UPPER(Anverso!H17)&amp;"-"&amp;UPPER(Anverso!H$27),"")</f>
        <v/>
      </c>
      <c r="H14" s="99"/>
      <c r="I14" s="99"/>
      <c r="J14" s="99"/>
      <c r="K14" s="99"/>
      <c r="L14" s="99"/>
      <c r="M14" s="99"/>
      <c r="N14" s="103"/>
      <c r="O14" s="101"/>
      <c r="P14" s="104"/>
    </row>
    <row r="15" customFormat="false" ht="15" hidden="false" customHeight="true" outlineLevel="0" collapsed="false">
      <c r="A15" s="95" t="str">
        <f aca="false">IF(Anverso!A18&gt;0,Anverso!A18,"")</f>
        <v/>
      </c>
      <c r="B15" s="96" t="n">
        <f aca="false">Anverso!B18</f>
        <v>0</v>
      </c>
      <c r="C15" s="97" t="n">
        <f aca="false">Anverso!C18</f>
        <v>0</v>
      </c>
      <c r="D15" s="98"/>
      <c r="E15" s="96" t="n">
        <f aca="false">Anverso!F18</f>
        <v>0</v>
      </c>
      <c r="F15" s="97" t="n">
        <f aca="false">Anverso!G18</f>
        <v>0</v>
      </c>
      <c r="G15" s="99" t="str">
        <f aca="false">IF(Anverso!H18&gt;0,UPPER(Anverso!H$27)&amp;"-"&amp;UPPER(Anverso!H18)&amp;"-"&amp;UPPER(Anverso!H$27),"")</f>
        <v/>
      </c>
      <c r="H15" s="99"/>
      <c r="I15" s="99"/>
      <c r="J15" s="99"/>
      <c r="K15" s="99"/>
      <c r="L15" s="99"/>
      <c r="M15" s="99"/>
      <c r="N15" s="103"/>
      <c r="O15" s="101"/>
      <c r="P15" s="104"/>
    </row>
    <row r="16" customFormat="false" ht="15" hidden="false" customHeight="true" outlineLevel="0" collapsed="false">
      <c r="A16" s="95" t="str">
        <f aca="false">IF(Anverso!A19&gt;0,Anverso!A19,"")</f>
        <v/>
      </c>
      <c r="B16" s="96" t="n">
        <f aca="false">Anverso!B19</f>
        <v>0</v>
      </c>
      <c r="C16" s="97" t="n">
        <f aca="false">Anverso!C19</f>
        <v>0</v>
      </c>
      <c r="D16" s="98"/>
      <c r="E16" s="96" t="n">
        <f aca="false">Anverso!F19</f>
        <v>0</v>
      </c>
      <c r="F16" s="97" t="n">
        <f aca="false">Anverso!G19</f>
        <v>0</v>
      </c>
      <c r="G16" s="99" t="str">
        <f aca="false">IF(Anverso!H19&gt;0,UPPER(Anverso!H$27)&amp;"-"&amp;UPPER(Anverso!H19)&amp;"-"&amp;UPPER(Anverso!H$27),"")</f>
        <v/>
      </c>
      <c r="H16" s="99"/>
      <c r="I16" s="99"/>
      <c r="J16" s="99"/>
      <c r="K16" s="99"/>
      <c r="L16" s="99"/>
      <c r="M16" s="99"/>
      <c r="N16" s="103"/>
      <c r="O16" s="101"/>
      <c r="P16" s="104"/>
    </row>
    <row r="17" customFormat="false" ht="15" hidden="false" customHeight="true" outlineLevel="0" collapsed="false">
      <c r="A17" s="95" t="str">
        <f aca="false">IF(Anverso!A20&gt;0,Anverso!A20,"")</f>
        <v/>
      </c>
      <c r="B17" s="96" t="n">
        <f aca="false">Anverso!B20</f>
        <v>0</v>
      </c>
      <c r="C17" s="97" t="n">
        <f aca="false">Anverso!C20</f>
        <v>0</v>
      </c>
      <c r="D17" s="98"/>
      <c r="E17" s="96" t="n">
        <f aca="false">Anverso!F20</f>
        <v>0</v>
      </c>
      <c r="F17" s="97" t="n">
        <f aca="false">Anverso!G20</f>
        <v>0</v>
      </c>
      <c r="G17" s="99" t="str">
        <f aca="false">IF(Anverso!H20&gt;0,UPPER(Anverso!H$27)&amp;"-"&amp;UPPER(Anverso!H20)&amp;"-"&amp;UPPER(Anverso!H$27),"")</f>
        <v/>
      </c>
      <c r="H17" s="99"/>
      <c r="I17" s="99"/>
      <c r="J17" s="99"/>
      <c r="K17" s="99"/>
      <c r="L17" s="99"/>
      <c r="M17" s="99"/>
      <c r="N17" s="103"/>
      <c r="O17" s="101"/>
      <c r="P17" s="104"/>
    </row>
    <row r="18" customFormat="false" ht="15" hidden="false" customHeight="true" outlineLevel="0" collapsed="false">
      <c r="A18" s="95" t="str">
        <f aca="false">IF(Anverso!A21&gt;0,Anverso!A21,"")</f>
        <v/>
      </c>
      <c r="B18" s="96" t="n">
        <f aca="false">Anverso!B21</f>
        <v>0</v>
      </c>
      <c r="C18" s="97" t="n">
        <f aca="false">Anverso!C21</f>
        <v>0</v>
      </c>
      <c r="D18" s="98"/>
      <c r="E18" s="96" t="n">
        <f aca="false">Anverso!F21</f>
        <v>0</v>
      </c>
      <c r="F18" s="97" t="n">
        <f aca="false">Anverso!G21</f>
        <v>0</v>
      </c>
      <c r="G18" s="99" t="str">
        <f aca="false">IF(Anverso!H21&gt;0,UPPER(Anverso!H$27)&amp;"-"&amp;UPPER(Anverso!H21)&amp;"-"&amp;UPPER(Anverso!H$27),"")</f>
        <v/>
      </c>
      <c r="H18" s="99"/>
      <c r="I18" s="99"/>
      <c r="J18" s="99"/>
      <c r="K18" s="99"/>
      <c r="L18" s="99"/>
      <c r="M18" s="99"/>
      <c r="N18" s="103"/>
      <c r="O18" s="101"/>
      <c r="P18" s="104"/>
    </row>
    <row r="19" customFormat="false" ht="15" hidden="false" customHeight="true" outlineLevel="0" collapsed="false">
      <c r="A19" s="95" t="str">
        <f aca="false">IF(Anverso!A22&gt;0,Anverso!A22,"")</f>
        <v/>
      </c>
      <c r="B19" s="96" t="n">
        <f aca="false">Anverso!B22</f>
        <v>0</v>
      </c>
      <c r="C19" s="97" t="n">
        <f aca="false">Anverso!C22</f>
        <v>0</v>
      </c>
      <c r="D19" s="98"/>
      <c r="E19" s="96" t="n">
        <f aca="false">Anverso!F22</f>
        <v>0</v>
      </c>
      <c r="F19" s="97" t="n">
        <f aca="false">Anverso!G22</f>
        <v>0</v>
      </c>
      <c r="G19" s="99" t="str">
        <f aca="false">IF(Anverso!H22&gt;0,UPPER(Anverso!H$27)&amp;"-"&amp;UPPER(Anverso!H22)&amp;"-"&amp;UPPER(Anverso!H$27),"")</f>
        <v/>
      </c>
      <c r="H19" s="99"/>
      <c r="I19" s="99"/>
      <c r="J19" s="99"/>
      <c r="K19" s="99"/>
      <c r="L19" s="99"/>
      <c r="M19" s="99"/>
      <c r="N19" s="103"/>
      <c r="O19" s="101"/>
      <c r="P19" s="104"/>
    </row>
    <row r="20" customFormat="false" ht="15" hidden="false" customHeight="true" outlineLevel="0" collapsed="false">
      <c r="A20" s="95" t="str">
        <f aca="false">IF(Anverso!A23&gt;0,Anverso!A23,"")</f>
        <v/>
      </c>
      <c r="B20" s="96" t="n">
        <f aca="false">Anverso!B23</f>
        <v>0</v>
      </c>
      <c r="C20" s="97" t="n">
        <f aca="false">Anverso!C23</f>
        <v>0</v>
      </c>
      <c r="D20" s="98"/>
      <c r="E20" s="96" t="n">
        <f aca="false">Anverso!F23</f>
        <v>0</v>
      </c>
      <c r="F20" s="97" t="n">
        <f aca="false">Anverso!G23</f>
        <v>0</v>
      </c>
      <c r="G20" s="99" t="str">
        <f aca="false">IF(Anverso!H23&gt;0,UPPER(Anverso!H$27)&amp;"-"&amp;UPPER(Anverso!H23)&amp;"-"&amp;UPPER(Anverso!H$27),"")</f>
        <v/>
      </c>
      <c r="H20" s="99"/>
      <c r="I20" s="99"/>
      <c r="J20" s="99"/>
      <c r="K20" s="99"/>
      <c r="L20" s="99"/>
      <c r="M20" s="99"/>
      <c r="N20" s="103"/>
      <c r="O20" s="101"/>
      <c r="P20" s="104"/>
    </row>
    <row r="21" customFormat="false" ht="15" hidden="false" customHeight="true" outlineLevel="0" collapsed="false">
      <c r="A21" s="95" t="str">
        <f aca="false">IF(Anverso!A24&gt;0,Anverso!A24,"")</f>
        <v/>
      </c>
      <c r="B21" s="96" t="n">
        <f aca="false">Anverso!B24</f>
        <v>0</v>
      </c>
      <c r="C21" s="97" t="n">
        <f aca="false">Anverso!C24</f>
        <v>0</v>
      </c>
      <c r="D21" s="98"/>
      <c r="E21" s="96" t="n">
        <f aca="false">Anverso!F24</f>
        <v>0</v>
      </c>
      <c r="F21" s="97" t="n">
        <f aca="false">Anverso!G24</f>
        <v>0</v>
      </c>
      <c r="G21" s="99" t="str">
        <f aca="false">IF(Anverso!H24&gt;0,UPPER(Anverso!H$27)&amp;"-"&amp;UPPER(Anverso!H24)&amp;"-"&amp;UPPER(Anverso!H$27),"")</f>
        <v/>
      </c>
      <c r="H21" s="99"/>
      <c r="I21" s="99"/>
      <c r="J21" s="99"/>
      <c r="K21" s="99"/>
      <c r="L21" s="99"/>
      <c r="M21" s="99"/>
      <c r="N21" s="103"/>
      <c r="O21" s="101"/>
      <c r="P21" s="104"/>
    </row>
    <row r="22" customFormat="false" ht="15" hidden="false" customHeight="true" outlineLevel="0" collapsed="false">
      <c r="A22" s="95" t="str">
        <f aca="false">IF(Anverso!A25&gt;0,Anverso!A25,"")</f>
        <v/>
      </c>
      <c r="B22" s="96" t="n">
        <f aca="false">Anverso!B25</f>
        <v>0</v>
      </c>
      <c r="C22" s="97" t="n">
        <f aca="false">Anverso!C25</f>
        <v>0</v>
      </c>
      <c r="D22" s="98"/>
      <c r="E22" s="96" t="n">
        <f aca="false">Anverso!F25</f>
        <v>0</v>
      </c>
      <c r="F22" s="97" t="n">
        <f aca="false">Anverso!G25</f>
        <v>0</v>
      </c>
      <c r="G22" s="99" t="str">
        <f aca="false">IF(Anverso!H25&gt;0,UPPER(Anverso!H$27)&amp;"-"&amp;UPPER(Anverso!H25)&amp;"-"&amp;UPPER(Anverso!H$27),"")</f>
        <v/>
      </c>
      <c r="H22" s="99"/>
      <c r="I22" s="99"/>
      <c r="J22" s="99"/>
      <c r="K22" s="99"/>
      <c r="L22" s="99"/>
      <c r="M22" s="99"/>
      <c r="N22" s="105"/>
      <c r="O22" s="101"/>
      <c r="P22" s="106"/>
    </row>
    <row r="23" customFormat="false" ht="15" hidden="false" customHeight="true" outlineLevel="0" collapsed="false">
      <c r="A23" s="107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8" t="n">
        <f aca="false">SUM(N8:N22)</f>
        <v>0</v>
      </c>
      <c r="O23" s="109" t="n">
        <f aca="false">SUM(O8:O22)</f>
        <v>0</v>
      </c>
      <c r="P23" s="110" t="n">
        <f aca="false">SUM(P8:P22)</f>
        <v>0</v>
      </c>
    </row>
    <row r="24" customFormat="false" ht="12.75" hidden="false" customHeight="false" outlineLevel="0" collapsed="false">
      <c r="A24" s="81"/>
      <c r="B24" s="111" t="s">
        <v>44</v>
      </c>
      <c r="C24" s="111"/>
      <c r="D24" s="111"/>
      <c r="E24" s="112" t="str">
        <f aca="false">Anverso!D3</f>
        <v>TRUJILLO</v>
      </c>
      <c r="F24" s="112"/>
      <c r="G24" s="112"/>
      <c r="H24" s="113" t="s">
        <v>45</v>
      </c>
      <c r="I24" s="114" t="str">
        <f aca="true">CONCATENATE(MAX(E8:E22)," / ",MAX(F8:F22)," / ",IF(AND(MAX(F8:F22)=12,MONTH(TODAY())=1),YEAR(TODAY())-1,YEAR(TODAY())))</f>
        <v>0 / 0 / 2026</v>
      </c>
      <c r="J24" s="114"/>
      <c r="K24" s="114"/>
      <c r="L24" s="114"/>
      <c r="M24" s="81"/>
      <c r="N24" s="115"/>
      <c r="O24" s="116"/>
      <c r="P24" s="116"/>
      <c r="Q24" s="117"/>
      <c r="R24" s="117"/>
    </row>
    <row r="25" customFormat="false" ht="12.75" hidden="false" customHeight="false" outlineLevel="0" collapsed="false">
      <c r="A25" s="81"/>
      <c r="B25" s="81"/>
      <c r="C25" s="81"/>
      <c r="D25" s="81"/>
      <c r="E25" s="81"/>
      <c r="F25" s="81"/>
      <c r="G25" s="118" t="s">
        <v>46</v>
      </c>
      <c r="H25" s="118"/>
      <c r="I25" s="118"/>
      <c r="J25" s="118"/>
      <c r="K25" s="81"/>
      <c r="L25" s="81"/>
      <c r="M25" s="81"/>
      <c r="N25" s="81"/>
      <c r="O25" s="81"/>
      <c r="P25" s="81"/>
    </row>
    <row r="26" customFormat="false" ht="12.75" hidden="false" customHeight="false" outlineLevel="0" collapsed="false">
      <c r="A26" s="81"/>
      <c r="B26" s="119"/>
      <c r="C26" s="119"/>
      <c r="D26" s="81"/>
      <c r="F26" s="119"/>
      <c r="G26" s="120"/>
      <c r="H26" s="121" t="s">
        <v>47</v>
      </c>
      <c r="I26" s="121"/>
      <c r="J26" s="122"/>
      <c r="K26" s="81"/>
      <c r="L26" s="81"/>
      <c r="M26" s="81"/>
      <c r="N26" s="81"/>
      <c r="O26" s="81"/>
      <c r="P26" s="81"/>
    </row>
    <row r="27" customFormat="false" ht="12.75" hidden="false" customHeight="false" outlineLevel="0" collapsed="false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 customFormat="false" ht="12.75" hidden="false" customHeight="false" outlineLevel="0" collapsed="false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P28" s="81"/>
    </row>
    <row r="29" customFormat="false" ht="12.75" hidden="false" customHeight="false" outlineLevel="0" collapsed="false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 customFormat="false" ht="12.75" hidden="false" customHeight="false" outlineLevel="0" collapsed="false">
      <c r="A30" s="81"/>
      <c r="B30" s="81"/>
      <c r="C30" s="81"/>
      <c r="D30" s="81"/>
      <c r="E30" s="81"/>
      <c r="F30" s="81"/>
      <c r="G30" s="120" t="s">
        <v>32</v>
      </c>
      <c r="H30" s="123" t="n">
        <f aca="false">Anverso!K3</f>
        <v>0</v>
      </c>
      <c r="I30" s="123"/>
      <c r="J30" s="123"/>
      <c r="K30" s="123"/>
      <c r="L30" s="81"/>
      <c r="M30" s="81"/>
      <c r="N30" s="81"/>
      <c r="O30" s="81"/>
      <c r="P30" s="81"/>
    </row>
    <row r="31" customFormat="false" ht="12.75" hidden="false" customHeight="false" outlineLevel="0" collapsed="false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 customFormat="false" ht="7.5" hidden="false" customHeight="true" outlineLevel="0" collapsed="false">
      <c r="B32" s="81"/>
      <c r="C32" s="81"/>
      <c r="D32" s="81"/>
      <c r="E32" s="81"/>
      <c r="F32" s="81"/>
      <c r="G32" s="81"/>
      <c r="H32" s="81"/>
      <c r="J32" s="81"/>
      <c r="K32" s="81"/>
      <c r="L32" s="81"/>
      <c r="M32" s="81"/>
      <c r="N32" s="124"/>
      <c r="O32" s="81"/>
      <c r="P32" s="81"/>
    </row>
    <row r="33" customFormat="false" ht="16.5" hidden="false" customHeight="true" outlineLevel="0" collapsed="false">
      <c r="A33" s="125" t="s">
        <v>48</v>
      </c>
      <c r="B33" s="125"/>
      <c r="C33" s="125"/>
      <c r="D33" s="125"/>
      <c r="E33" s="125"/>
      <c r="F33" s="125"/>
      <c r="G33" s="125"/>
      <c r="H33" s="126"/>
      <c r="I33" s="127"/>
      <c r="J33" s="127"/>
      <c r="K33" s="127"/>
      <c r="L33" s="127"/>
      <c r="M33" s="127"/>
      <c r="N33" s="127"/>
      <c r="O33" s="127"/>
      <c r="P33" s="128"/>
    </row>
    <row r="34" customFormat="false" ht="15.75" hidden="false" customHeight="true" outlineLevel="0" collapsed="false">
      <c r="A34" s="129"/>
      <c r="B34" s="81"/>
      <c r="C34" s="81"/>
      <c r="D34" s="81"/>
      <c r="E34" s="81"/>
      <c r="F34" s="81"/>
      <c r="H34" s="81"/>
      <c r="I34" s="81"/>
      <c r="J34" s="81"/>
      <c r="K34" s="81"/>
      <c r="L34" s="81"/>
      <c r="M34" s="81"/>
      <c r="N34" s="81"/>
      <c r="O34" s="81"/>
      <c r="P34" s="130"/>
    </row>
    <row r="35" customFormat="false" ht="12.75" hidden="false" customHeight="false" outlineLevel="0" collapsed="false">
      <c r="A35" s="129"/>
      <c r="B35" s="81"/>
      <c r="C35" s="81"/>
      <c r="D35" s="81"/>
      <c r="E35" s="81"/>
      <c r="G35" s="81"/>
      <c r="H35" s="131" t="s">
        <v>49</v>
      </c>
      <c r="I35" s="131"/>
      <c r="J35" s="131"/>
      <c r="K35" s="131"/>
      <c r="L35" s="131"/>
      <c r="M35" s="131"/>
      <c r="N35" s="132" t="n">
        <f aca="false">Anverso!Q3</f>
        <v>0</v>
      </c>
      <c r="O35" s="132"/>
      <c r="P35" s="133" t="s">
        <v>8</v>
      </c>
    </row>
    <row r="36" customFormat="false" ht="12" hidden="false" customHeight="true" outlineLevel="0" collapsed="false">
      <c r="A36" s="134" t="s">
        <v>50</v>
      </c>
      <c r="B36" s="134"/>
      <c r="C36" s="134"/>
      <c r="D36" s="134"/>
      <c r="E36" s="134"/>
      <c r="F36" s="134"/>
      <c r="G36" s="134"/>
      <c r="H36" s="135" t="s">
        <v>51</v>
      </c>
      <c r="I36" s="136" t="s">
        <v>52</v>
      </c>
      <c r="J36" s="136" t="s">
        <v>53</v>
      </c>
      <c r="K36" s="136" t="s">
        <v>54</v>
      </c>
      <c r="L36" s="136"/>
      <c r="M36" s="136" t="s">
        <v>55</v>
      </c>
      <c r="N36" s="136"/>
      <c r="O36" s="137" t="s">
        <v>56</v>
      </c>
      <c r="P36" s="137"/>
    </row>
    <row r="37" customFormat="false" ht="31.5" hidden="false" customHeight="true" outlineLevel="0" collapsed="false">
      <c r="A37" s="134"/>
      <c r="B37" s="134"/>
      <c r="C37" s="134"/>
      <c r="D37" s="134"/>
      <c r="E37" s="134"/>
      <c r="F37" s="134"/>
      <c r="G37" s="134"/>
      <c r="H37" s="93" t="s">
        <v>57</v>
      </c>
      <c r="I37" s="138" t="s">
        <v>58</v>
      </c>
      <c r="J37" s="138" t="s">
        <v>59</v>
      </c>
      <c r="K37" s="138" t="s">
        <v>60</v>
      </c>
      <c r="L37" s="138"/>
      <c r="M37" s="138" t="s">
        <v>61</v>
      </c>
      <c r="N37" s="138"/>
      <c r="O37" s="139" t="s">
        <v>62</v>
      </c>
      <c r="P37" s="139"/>
    </row>
    <row r="38" customFormat="false" ht="18" hidden="false" customHeight="true" outlineLevel="0" collapsed="false">
      <c r="A38" s="140" t="s">
        <v>63</v>
      </c>
      <c r="B38" s="140"/>
      <c r="C38" s="140"/>
      <c r="D38" s="140"/>
      <c r="E38" s="140"/>
      <c r="F38" s="140"/>
      <c r="G38" s="140"/>
      <c r="H38" s="141" t="n">
        <f aca="false">Autoliquidación!C20</f>
        <v>0</v>
      </c>
      <c r="I38" s="142"/>
      <c r="J38" s="143" t="n">
        <f aca="false">Autoliquidación!H20</f>
        <v>0</v>
      </c>
      <c r="K38" s="144" t="n">
        <f aca="false">Autoliquidación!J20</f>
        <v>0</v>
      </c>
      <c r="L38" s="144"/>
      <c r="M38" s="144" t="n">
        <f aca="false">Autoliquidación!L20</f>
        <v>0</v>
      </c>
      <c r="N38" s="144"/>
      <c r="O38" s="145" t="n">
        <f aca="false">Autoliquidación!M20</f>
        <v>0</v>
      </c>
      <c r="P38" s="145"/>
    </row>
    <row r="39" customFormat="false" ht="18" hidden="false" customHeight="true" outlineLevel="0" collapsed="false">
      <c r="A39" s="146" t="s">
        <v>64</v>
      </c>
      <c r="B39" s="146"/>
      <c r="C39" s="146"/>
      <c r="D39" s="146"/>
      <c r="E39" s="146"/>
      <c r="F39" s="146"/>
      <c r="G39" s="146"/>
      <c r="H39" s="147" t="n">
        <f aca="false">Autoliquidación!C27</f>
        <v>0</v>
      </c>
      <c r="I39" s="143"/>
      <c r="J39" s="143" t="n">
        <f aca="false">Autoliquidación!H27</f>
        <v>0</v>
      </c>
      <c r="K39" s="148" t="n">
        <f aca="false">Autoliquidación!J27</f>
        <v>0</v>
      </c>
      <c r="L39" s="148"/>
      <c r="M39" s="148" t="n">
        <f aca="false">Autoliquidación!L27</f>
        <v>0</v>
      </c>
      <c r="N39" s="148"/>
      <c r="O39" s="149" t="n">
        <f aca="false">Autoliquidación!M27</f>
        <v>0</v>
      </c>
      <c r="P39" s="149"/>
    </row>
    <row r="40" customFormat="false" ht="18" hidden="false" customHeight="true" outlineLevel="0" collapsed="false">
      <c r="A40" s="150" t="s">
        <v>65</v>
      </c>
      <c r="B40" s="150"/>
      <c r="C40" s="150"/>
      <c r="D40" s="150"/>
      <c r="E40" s="150"/>
      <c r="F40" s="151" t="s">
        <v>66</v>
      </c>
      <c r="G40" s="151"/>
      <c r="H40" s="147" t="n">
        <f aca="false">Autoliquidación!F4</f>
        <v>0</v>
      </c>
      <c r="I40" s="143" t="n">
        <v>0.26</v>
      </c>
      <c r="J40" s="143" t="n">
        <f aca="false">Autoliquidación!H4</f>
        <v>0</v>
      </c>
      <c r="K40" s="148" t="n">
        <f aca="false">Autoliquidación!J4</f>
        <v>0</v>
      </c>
      <c r="L40" s="148"/>
      <c r="M40" s="148" t="n">
        <f aca="false">Autoliquidación!L4</f>
        <v>0</v>
      </c>
      <c r="N40" s="148"/>
      <c r="O40" s="148" t="str">
        <f aca="false">Autoliquidación!M4</f>
        <v/>
      </c>
      <c r="P40" s="148"/>
    </row>
    <row r="41" customFormat="false" ht="18" hidden="false" customHeight="true" outlineLevel="0" collapsed="false">
      <c r="A41" s="150"/>
      <c r="B41" s="150"/>
      <c r="C41" s="150"/>
      <c r="D41" s="150"/>
      <c r="E41" s="150"/>
      <c r="F41" s="151" t="s">
        <v>67</v>
      </c>
      <c r="G41" s="151"/>
      <c r="H41" s="152"/>
      <c r="I41" s="152"/>
      <c r="J41" s="153" t="n">
        <f aca="false">Autoliquidación!H5</f>
        <v>0</v>
      </c>
      <c r="K41" s="154"/>
      <c r="L41" s="154"/>
      <c r="M41" s="154"/>
      <c r="N41" s="154"/>
      <c r="O41" s="148" t="n">
        <f aca="false">Autoliquidación!M5</f>
        <v>0</v>
      </c>
      <c r="P41" s="148"/>
    </row>
    <row r="42" customFormat="false" ht="18" hidden="false" customHeight="true" outlineLevel="0" collapsed="false">
      <c r="A42" s="150"/>
      <c r="B42" s="150"/>
      <c r="C42" s="150"/>
      <c r="D42" s="150"/>
      <c r="E42" s="150"/>
      <c r="F42" s="155" t="s">
        <v>68</v>
      </c>
      <c r="G42" s="155"/>
      <c r="H42" s="152"/>
      <c r="I42" s="152"/>
      <c r="J42" s="156" t="n">
        <f aca="false">Autoliquidación!H6+Autoliquidación!H7</f>
        <v>0</v>
      </c>
      <c r="K42" s="154"/>
      <c r="L42" s="154"/>
      <c r="M42" s="154"/>
      <c r="N42" s="154"/>
      <c r="O42" s="148" t="n">
        <f aca="false">Autoliquidación!M6+Autoliquidación!M7</f>
        <v>0</v>
      </c>
      <c r="P42" s="148"/>
    </row>
    <row r="43" customFormat="false" ht="19.5" hidden="false" customHeight="true" outlineLevel="0" collapsed="false">
      <c r="A43" s="157" t="s">
        <v>69</v>
      </c>
      <c r="B43" s="157"/>
      <c r="C43" s="157"/>
      <c r="D43" s="157"/>
      <c r="E43" s="157"/>
      <c r="F43" s="157"/>
      <c r="G43" s="157"/>
      <c r="H43" s="157"/>
      <c r="I43" s="157"/>
      <c r="J43" s="158" t="n">
        <f aca="false">SUM(J38:J42)</f>
        <v>0</v>
      </c>
      <c r="K43" s="159" t="n">
        <f aca="false">SUM(K38:K40)</f>
        <v>0</v>
      </c>
      <c r="L43" s="159"/>
      <c r="M43" s="159" t="n">
        <f aca="false">SUM(M38:M40)</f>
        <v>0</v>
      </c>
      <c r="N43" s="159"/>
      <c r="O43" s="160" t="n">
        <f aca="false">SUM(O38:O42)</f>
        <v>0</v>
      </c>
      <c r="P43" s="160"/>
    </row>
    <row r="44" customFormat="false" ht="12.75" hidden="false" customHeight="false" outlineLevel="0" collapsed="false">
      <c r="A44" s="161"/>
      <c r="B44" s="127"/>
      <c r="C44" s="22"/>
      <c r="D44" s="127"/>
      <c r="E44" s="127"/>
      <c r="F44" s="126"/>
      <c r="G44" s="162" t="s">
        <v>70</v>
      </c>
      <c r="H44" s="162"/>
      <c r="I44" s="163"/>
      <c r="J44" s="164" t="s">
        <v>71</v>
      </c>
      <c r="K44" s="164"/>
      <c r="L44" s="164"/>
      <c r="M44" s="164"/>
      <c r="N44" s="164"/>
      <c r="O44" s="164"/>
      <c r="P44" s="164"/>
    </row>
    <row r="45" customFormat="false" ht="12.75" hidden="false" customHeight="true" outlineLevel="0" collapsed="false">
      <c r="A45" s="165" t="s">
        <v>72</v>
      </c>
      <c r="B45" s="165"/>
      <c r="C45" s="166" t="str">
        <f aca="false">IF(O43&gt;0,O43,"")</f>
        <v/>
      </c>
      <c r="D45" s="166"/>
      <c r="E45" s="166"/>
      <c r="F45" s="22"/>
      <c r="G45" s="167" t="s">
        <v>73</v>
      </c>
      <c r="H45" s="167"/>
      <c r="I45" s="168"/>
      <c r="J45" s="169" t="str">
        <f aca="false">IF(Anverso!H27&lt;&gt;0,"En "&amp;Anverso!H27&amp;",  a______________","")</f>
        <v>En TRUJILLO,  a______________</v>
      </c>
      <c r="K45" s="169"/>
      <c r="L45" s="169"/>
      <c r="M45" s="169"/>
      <c r="N45" s="169"/>
      <c r="O45" s="169"/>
      <c r="P45" s="169"/>
    </row>
    <row r="46" customFormat="false" ht="13.5" hidden="false" customHeight="true" outlineLevel="0" collapsed="false">
      <c r="A46" s="165"/>
      <c r="B46" s="165"/>
      <c r="C46" s="166"/>
      <c r="D46" s="166"/>
      <c r="E46" s="166"/>
      <c r="G46" s="22"/>
      <c r="H46" s="22"/>
      <c r="I46" s="170"/>
      <c r="J46" s="22"/>
      <c r="K46" s="22"/>
      <c r="L46" s="22"/>
      <c r="M46" s="22"/>
      <c r="N46" s="22"/>
      <c r="O46" s="22"/>
      <c r="P46" s="171"/>
    </row>
    <row r="47" customFormat="false" ht="15.75" hidden="false" customHeight="true" outlineLevel="0" collapsed="false">
      <c r="A47" s="172" t="s">
        <v>74</v>
      </c>
      <c r="B47" s="172"/>
      <c r="C47" s="22"/>
      <c r="D47" s="22"/>
      <c r="E47" s="22"/>
      <c r="F47" s="22"/>
      <c r="G47" s="22"/>
      <c r="H47" s="173"/>
      <c r="I47" s="173"/>
      <c r="J47" s="22"/>
      <c r="K47" s="22"/>
      <c r="L47" s="22"/>
      <c r="M47" s="22"/>
      <c r="N47" s="22"/>
      <c r="O47" s="22"/>
      <c r="P47" s="130"/>
    </row>
    <row r="48" customFormat="false" ht="12.75" hidden="false" customHeight="false" outlineLevel="0" collapsed="false">
      <c r="A48" s="172"/>
      <c r="B48" s="172"/>
      <c r="C48" s="174" t="str">
        <f aca="false">IF(Anverso!O5&lt;&gt;"",Anverso!O5,"")</f>
        <v/>
      </c>
      <c r="D48" s="174"/>
      <c r="E48" s="22"/>
      <c r="F48" s="22"/>
      <c r="G48" s="22"/>
      <c r="H48" s="81"/>
      <c r="I48" s="168"/>
      <c r="J48" s="22"/>
      <c r="K48" s="22"/>
      <c r="L48" s="22"/>
      <c r="M48" s="22"/>
      <c r="N48" s="22"/>
      <c r="O48" s="22"/>
      <c r="P48" s="130"/>
    </row>
    <row r="49" customFormat="false" ht="12.75" hidden="false" customHeight="false" outlineLevel="0" collapsed="false">
      <c r="A49" s="172"/>
      <c r="B49" s="172"/>
      <c r="C49" s="174"/>
      <c r="D49" s="174"/>
      <c r="E49" s="22"/>
      <c r="F49" s="81"/>
      <c r="G49" s="81"/>
      <c r="H49" s="81"/>
      <c r="I49" s="168"/>
      <c r="J49" s="22"/>
      <c r="K49" s="22"/>
      <c r="L49" s="22"/>
      <c r="M49" s="22"/>
      <c r="N49" s="22"/>
      <c r="O49" s="22"/>
      <c r="P49" s="130"/>
    </row>
    <row r="50" customFormat="false" ht="18.75" hidden="false" customHeight="true" outlineLevel="0" collapsed="false">
      <c r="A50" s="175"/>
      <c r="B50" s="176"/>
      <c r="C50" s="176"/>
      <c r="D50" s="176"/>
      <c r="E50" s="177" t="str">
        <f aca="false">IF(Anverso!J33&lt;&gt;"","Fdo.:"&amp;Anverso!J33,"")</f>
        <v>Fdo.:MARÍA MONTAÑA HERNÁNDEZ ROSADO</v>
      </c>
      <c r="F50" s="177"/>
      <c r="G50" s="177"/>
      <c r="H50" s="177"/>
      <c r="I50" s="177"/>
      <c r="J50" s="178" t="str">
        <f aca="false">IF(Anverso!K3&lt;&gt;0,"Fdo.:"&amp;Anverso!K3,"")</f>
        <v/>
      </c>
      <c r="K50" s="178"/>
      <c r="L50" s="178"/>
      <c r="M50" s="178"/>
      <c r="N50" s="178"/>
      <c r="O50" s="178"/>
      <c r="P50" s="178"/>
    </row>
    <row r="51" customFormat="false" ht="13.5" hidden="false" customHeight="false" outlineLevel="0" collapsed="false"/>
  </sheetData>
  <sheetProtection algorithmName="SHA-512" hashValue="cv9tOUv3Z/7ih9LkY2ycPnKxXitc6ACAeaE4Q2mDnFlsclqz6GR6NI82ILbC9AVj65+IH31egBT1p2IvJzu3cQ==" saltValue="vm7+hyulyGHbvNFQS2kKSg==" spinCount="100000" sheet="true" objects="true" scenarios="true" selectLockedCells="true"/>
  <mergeCells count="76">
    <mergeCell ref="A1:H1"/>
    <mergeCell ref="A2:P2"/>
    <mergeCell ref="A3:P3"/>
    <mergeCell ref="G4:P4"/>
    <mergeCell ref="A6:C6"/>
    <mergeCell ref="D6:F6"/>
    <mergeCell ref="G6:M7"/>
    <mergeCell ref="N6:N7"/>
    <mergeCell ref="O6:O7"/>
    <mergeCell ref="P6:P7"/>
    <mergeCell ref="G8:M8"/>
    <mergeCell ref="G9:M9"/>
    <mergeCell ref="G10:M10"/>
    <mergeCell ref="G11:M11"/>
    <mergeCell ref="G12:M12"/>
    <mergeCell ref="G13:M13"/>
    <mergeCell ref="G14:M14"/>
    <mergeCell ref="G15:M15"/>
    <mergeCell ref="G16:M16"/>
    <mergeCell ref="G17:M17"/>
    <mergeCell ref="G18:M18"/>
    <mergeCell ref="G19:M19"/>
    <mergeCell ref="G20:M20"/>
    <mergeCell ref="G21:M21"/>
    <mergeCell ref="G22:M22"/>
    <mergeCell ref="A23:M23"/>
    <mergeCell ref="B24:D24"/>
    <mergeCell ref="E24:G24"/>
    <mergeCell ref="I24:L24"/>
    <mergeCell ref="G25:J25"/>
    <mergeCell ref="H26:I26"/>
    <mergeCell ref="H30:K30"/>
    <mergeCell ref="A33:G33"/>
    <mergeCell ref="H35:M35"/>
    <mergeCell ref="N35:O35"/>
    <mergeCell ref="A36:G37"/>
    <mergeCell ref="K36:L36"/>
    <mergeCell ref="M36:N36"/>
    <mergeCell ref="O36:P36"/>
    <mergeCell ref="K37:L37"/>
    <mergeCell ref="M37:N37"/>
    <mergeCell ref="O37:P37"/>
    <mergeCell ref="A38:G38"/>
    <mergeCell ref="K38:L38"/>
    <mergeCell ref="M38:N38"/>
    <mergeCell ref="O38:P38"/>
    <mergeCell ref="A39:G39"/>
    <mergeCell ref="K39:L39"/>
    <mergeCell ref="M39:N39"/>
    <mergeCell ref="O39:P39"/>
    <mergeCell ref="A40:E42"/>
    <mergeCell ref="F40:G40"/>
    <mergeCell ref="K40:L40"/>
    <mergeCell ref="M40:N40"/>
    <mergeCell ref="O40:P40"/>
    <mergeCell ref="F41:G41"/>
    <mergeCell ref="H41:I42"/>
    <mergeCell ref="K41:N42"/>
    <mergeCell ref="O41:P41"/>
    <mergeCell ref="F42:G42"/>
    <mergeCell ref="O42:P42"/>
    <mergeCell ref="A43:I43"/>
    <mergeCell ref="K43:L43"/>
    <mergeCell ref="M43:N43"/>
    <mergeCell ref="O43:P43"/>
    <mergeCell ref="G44:H44"/>
    <mergeCell ref="J44:P44"/>
    <mergeCell ref="A45:B46"/>
    <mergeCell ref="C45:E46"/>
    <mergeCell ref="G45:H45"/>
    <mergeCell ref="J45:P45"/>
    <mergeCell ref="A47:B49"/>
    <mergeCell ref="H47:I47"/>
    <mergeCell ref="C48:D49"/>
    <mergeCell ref="E50:I50"/>
    <mergeCell ref="J50:P50"/>
  </mergeCells>
  <conditionalFormatting sqref="G4:P4">
    <cfRule type="cellIs" priority="2" operator="equal" aboveAverage="0" equalAverage="0" bottom="0" percent="0" rank="0" text="" dxfId="3">
      <formula>""</formula>
    </cfRule>
  </conditionalFormatting>
  <conditionalFormatting sqref="D8:D22">
    <cfRule type="expression" priority="3" aboveAverage="0" equalAverage="0" bottom="0" percent="0" rank="0" text="" dxfId="4">
      <formula>AND(A8&lt;&gt;"",D8="")</formula>
    </cfRule>
  </conditionalFormatting>
  <dataValidations count="4">
    <dataValidation allowBlank="true" error="DEBE INTRODUCIR NÚMEROS ENTEROS SIN DECIMALES&#10;" errorStyle="stop" errorTitle="ERROR DECIMALES" operator="between" showDropDown="false" showErrorMessage="true" showInputMessage="true" sqref="N9:N22" type="whole">
      <formula1>0</formula1>
      <formula2>99999</formula2>
    </dataValidation>
    <dataValidation allowBlank="true" error="DEBE INTRODUCIR NÚMEROS ENTEROS SIN DECIMALES&#10;" errorStyle="stop" errorTitle="ERROR DECIMALES" operator="between" prompt="SOLO NUMERO ENTERO.  &#10;REDONDEE LOS DECIMALES&#10;" showDropDown="false" showErrorMessage="true" showInputMessage="true" sqref="N8" type="whole">
      <formula1>0</formula1>
      <formula2>99999</formula2>
    </dataValidation>
    <dataValidation allowBlank="true" error="NO USE LETRA&#10;PONGA EL 1" errorStyle="stop" operator="between" showDropDown="false" showErrorMessage="true" showInputMessage="true" sqref="O8" type="whole">
      <formula1>1</formula1>
      <formula2>2</formula2>
    </dataValidation>
    <dataValidation allowBlank="true" error="NO USE LETRA X&#10;&#10;PONGA 1" errorStyle="stop" operator="between" showDropDown="false" showErrorMessage="true" showInputMessage="true" sqref="O9:O18" type="whole">
      <formula1>1</formula1>
      <formula2>2</formula2>
    </dataValidation>
  </dataValidations>
  <printOptions headings="false" gridLines="false" gridLinesSet="true" horizontalCentered="false" verticalCentered="false"/>
  <pageMargins left="0.261111111111111" right="0.347916666666667" top="0.354166666666667" bottom="0.391666666666667" header="0.511811023622047" footer="0.0784722222222222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&amp;R&amp;8&amp;F&amp;N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135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G19" activeCellId="0" sqref="G19"/>
    </sheetView>
  </sheetViews>
  <sheetFormatPr defaultColWidth="11.4453125" defaultRowHeight="12.75" zeroHeight="false" outlineLevelRow="0" outlineLevelCol="0"/>
  <cols>
    <col collapsed="false" customWidth="true" hidden="false" outlineLevel="0" max="1" min="1" style="179" width="19.31"/>
    <col collapsed="false" customWidth="true" hidden="false" outlineLevel="0" max="2" min="2" style="179" width="11.85"/>
    <col collapsed="false" customWidth="true" hidden="false" outlineLevel="0" max="3" min="3" style="179" width="12.29"/>
    <col collapsed="false" customWidth="true" hidden="false" outlineLevel="0" max="4" min="4" style="179" width="3.86"/>
    <col collapsed="false" customWidth="true" hidden="false" outlineLevel="0" max="5" min="5" style="179" width="3.42"/>
    <col collapsed="false" customWidth="true" hidden="false" outlineLevel="0" max="6" min="6" style="179" width="2.71"/>
    <col collapsed="false" customWidth="true" hidden="false" outlineLevel="0" max="7" min="7" style="179" width="9.13"/>
    <col collapsed="false" customWidth="true" hidden="false" outlineLevel="0" max="10" min="8" style="179" width="13.7"/>
    <col collapsed="false" customWidth="true" hidden="false" outlineLevel="0" max="11" min="11" style="179" width="10.29"/>
    <col collapsed="false" customWidth="true" hidden="false" outlineLevel="0" max="13" min="12" style="179" width="13.7"/>
    <col collapsed="false" customWidth="false" hidden="false" outlineLevel="0" max="1024" min="70" style="179" width="11.43"/>
  </cols>
  <sheetData>
    <row r="1" customFormat="false" ht="28.5" hidden="false" customHeight="true" outlineLevel="0" collapsed="false">
      <c r="A1" s="180" t="s">
        <v>75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</row>
    <row r="2" customFormat="false" ht="21" hidden="false" customHeight="true" outlineLevel="0" collapsed="false">
      <c r="A2" s="181" t="s">
        <v>76</v>
      </c>
      <c r="B2" s="182" t="str">
        <f aca="false">UPPER(Anverso!K3)</f>
        <v/>
      </c>
      <c r="C2" s="182"/>
      <c r="D2" s="182"/>
      <c r="E2" s="182"/>
      <c r="F2" s="183"/>
      <c r="G2" s="183"/>
      <c r="H2" s="183"/>
      <c r="I2" s="184" t="s">
        <v>77</v>
      </c>
      <c r="J2" s="185" t="str">
        <f aca="false">IF(Reverso!I24&lt;&gt;"",Reverso!I24,"")</f>
        <v>0 / 0 / 2026</v>
      </c>
      <c r="K2" s="185"/>
      <c r="L2" s="185"/>
      <c r="M2" s="186"/>
    </row>
    <row r="3" customFormat="false" ht="19.5" hidden="false" customHeight="true" outlineLevel="0" collapsed="false">
      <c r="A3" s="187" t="s">
        <v>65</v>
      </c>
      <c r="B3" s="187"/>
      <c r="C3" s="187"/>
      <c r="D3" s="187"/>
      <c r="E3" s="187"/>
      <c r="F3" s="188" t="s">
        <v>78</v>
      </c>
      <c r="G3" s="188"/>
      <c r="H3" s="188" t="s">
        <v>79</v>
      </c>
      <c r="I3" s="188" t="s">
        <v>80</v>
      </c>
      <c r="J3" s="188" t="s">
        <v>81</v>
      </c>
      <c r="K3" s="188" t="s">
        <v>82</v>
      </c>
      <c r="L3" s="188" t="s">
        <v>83</v>
      </c>
      <c r="M3" s="189" t="s">
        <v>84</v>
      </c>
    </row>
    <row r="4" customFormat="false" ht="19.5" hidden="false" customHeight="true" outlineLevel="0" collapsed="false">
      <c r="A4" s="190"/>
      <c r="B4" s="191" t="s">
        <v>85</v>
      </c>
      <c r="C4" s="191"/>
      <c r="D4" s="191"/>
      <c r="E4" s="191"/>
      <c r="F4" s="192"/>
      <c r="G4" s="192"/>
      <c r="H4" s="193" t="n">
        <f aca="false">F4*0.26</f>
        <v>0</v>
      </c>
      <c r="I4" s="193" t="n">
        <f aca="false">F4*0.26</f>
        <v>0</v>
      </c>
      <c r="J4" s="193" t="n">
        <f aca="false">H4-I4</f>
        <v>0</v>
      </c>
      <c r="K4" s="194" t="str">
        <f aca="false">IF(F4&gt;0,Anverso!$Q$3,"")</f>
        <v/>
      </c>
      <c r="L4" s="193" t="n">
        <f aca="false">IF(SUM(D4:G4)&gt;0,ROUND(J4*K4/100,2),0)</f>
        <v>0</v>
      </c>
      <c r="M4" s="195" t="str">
        <f aca="false">IF(F4,H4-L4,"")</f>
        <v/>
      </c>
    </row>
    <row r="5" customFormat="false" ht="15.75" hidden="false" customHeight="true" outlineLevel="0" collapsed="false">
      <c r="A5" s="196"/>
      <c r="B5" s="197"/>
      <c r="C5" s="198" t="s">
        <v>86</v>
      </c>
      <c r="D5" s="198"/>
      <c r="E5" s="198"/>
      <c r="F5" s="198"/>
      <c r="G5" s="198"/>
      <c r="H5" s="199"/>
      <c r="I5" s="193" t="str">
        <f aca="false">IF(H5,H5,"")</f>
        <v/>
      </c>
      <c r="J5" s="200"/>
      <c r="K5" s="201"/>
      <c r="L5" s="202" t="n">
        <v>0</v>
      </c>
      <c r="M5" s="203" t="n">
        <f aca="false">H5</f>
        <v>0</v>
      </c>
    </row>
    <row r="6" customFormat="false" ht="15.75" hidden="false" customHeight="true" outlineLevel="0" collapsed="false">
      <c r="A6" s="196"/>
      <c r="B6" s="197"/>
      <c r="C6" s="204" t="s">
        <v>87</v>
      </c>
      <c r="D6" s="204"/>
      <c r="E6" s="204"/>
      <c r="F6" s="204"/>
      <c r="G6" s="204"/>
      <c r="H6" s="199"/>
      <c r="I6" s="193" t="str">
        <f aca="false">IF(H6,H6,"")</f>
        <v/>
      </c>
      <c r="J6" s="205"/>
      <c r="K6" s="206"/>
      <c r="L6" s="207" t="n">
        <v>0</v>
      </c>
      <c r="M6" s="203" t="n">
        <f aca="false">H6</f>
        <v>0</v>
      </c>
    </row>
    <row r="7" customFormat="false" ht="15.75" hidden="false" customHeight="true" outlineLevel="0" collapsed="false">
      <c r="A7" s="196"/>
      <c r="B7" s="197"/>
      <c r="C7" s="204" t="s">
        <v>88</v>
      </c>
      <c r="D7" s="204"/>
      <c r="E7" s="204"/>
      <c r="F7" s="204"/>
      <c r="G7" s="204"/>
      <c r="H7" s="199"/>
      <c r="I7" s="193" t="str">
        <f aca="false">IF(H7,H7,"")</f>
        <v/>
      </c>
      <c r="J7" s="208"/>
      <c r="K7" s="209"/>
      <c r="L7" s="210" t="n">
        <v>0</v>
      </c>
      <c r="M7" s="203" t="n">
        <f aca="false">H7</f>
        <v>0</v>
      </c>
    </row>
    <row r="8" customFormat="false" ht="19.5" hidden="false" customHeight="true" outlineLevel="0" collapsed="false">
      <c r="A8" s="211" t="s">
        <v>89</v>
      </c>
      <c r="B8" s="211"/>
      <c r="C8" s="211"/>
      <c r="D8" s="211"/>
      <c r="E8" s="211"/>
      <c r="F8" s="211"/>
      <c r="G8" s="211"/>
      <c r="H8" s="212" t="n">
        <f aca="false">SUM(H4:H7)</f>
        <v>0</v>
      </c>
      <c r="I8" s="212" t="n">
        <f aca="false">SUM(I4:I7)</f>
        <v>0</v>
      </c>
      <c r="J8" s="212" t="n">
        <f aca="false">SUM(J4:J7)</f>
        <v>0</v>
      </c>
      <c r="K8" s="213" t="str">
        <f aca="false">IF(K4="","",Anverso!$Q$3)</f>
        <v/>
      </c>
      <c r="L8" s="214" t="n">
        <f aca="false">SUM(L4:L7)</f>
        <v>0</v>
      </c>
      <c r="M8" s="215" t="n">
        <f aca="false">SUM(M4:M7)</f>
        <v>0</v>
      </c>
    </row>
    <row r="9" customFormat="false" ht="12.75" hidden="false" customHeight="true" outlineLevel="0" collapsed="false">
      <c r="A9" s="216"/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  <c r="M9" s="218"/>
    </row>
    <row r="10" customFormat="false" ht="19.5" hidden="false" customHeight="true" outlineLevel="0" collapsed="false">
      <c r="A10" s="219" t="s">
        <v>63</v>
      </c>
      <c r="B10" s="219"/>
      <c r="C10" s="220"/>
      <c r="D10" s="188" t="s">
        <v>90</v>
      </c>
      <c r="E10" s="188"/>
      <c r="F10" s="188"/>
      <c r="G10" s="221" t="s">
        <v>91</v>
      </c>
      <c r="H10" s="188" t="s">
        <v>79</v>
      </c>
      <c r="I10" s="188" t="s">
        <v>80</v>
      </c>
      <c r="J10" s="188" t="s">
        <v>81</v>
      </c>
      <c r="K10" s="188" t="s">
        <v>82</v>
      </c>
      <c r="L10" s="188" t="s">
        <v>83</v>
      </c>
      <c r="M10" s="189" t="s">
        <v>84</v>
      </c>
    </row>
    <row r="11" customFormat="false" ht="15" hidden="false" customHeight="true" outlineLevel="0" collapsed="false">
      <c r="A11" s="219"/>
      <c r="B11" s="219"/>
      <c r="C11" s="220"/>
      <c r="D11" s="188"/>
      <c r="E11" s="188"/>
      <c r="F11" s="188"/>
      <c r="G11" s="221"/>
      <c r="H11" s="222"/>
      <c r="I11" s="222"/>
      <c r="J11" s="223"/>
      <c r="K11" s="223"/>
      <c r="L11" s="223"/>
      <c r="M11" s="224"/>
    </row>
    <row r="12" customFormat="false" ht="19.5" hidden="false" customHeight="true" outlineLevel="0" collapsed="false">
      <c r="A12" s="225" t="s">
        <v>92</v>
      </c>
      <c r="B12" s="226"/>
      <c r="C12" s="227"/>
      <c r="D12" s="228"/>
      <c r="E12" s="228"/>
      <c r="F12" s="228"/>
      <c r="G12" s="229"/>
      <c r="H12" s="193" t="str">
        <f aca="false">IF(D12="","",D12*45.68)</f>
        <v/>
      </c>
      <c r="I12" s="193" t="str">
        <f aca="false">IF(D12="","",D12*45.68)</f>
        <v/>
      </c>
      <c r="J12" s="193" t="str">
        <f aca="false">IF(H12="","",IF(H12-I12&gt;0,H12-I12,0))</f>
        <v/>
      </c>
      <c r="K12" s="230" t="str">
        <f aca="false">IF(SUM(C12:G12)&gt;0,Anverso!$Q$3,"")</f>
        <v/>
      </c>
      <c r="L12" s="193" t="str">
        <f aca="false">IF(SUM(D12:G12)&gt;0,ROUND(J12*K12/100,2),"")</f>
        <v/>
      </c>
      <c r="M12" s="195" t="str">
        <f aca="false">IF(H12="","",H12-L12)</f>
        <v/>
      </c>
    </row>
    <row r="13" customFormat="false" ht="19.5" hidden="false" customHeight="true" outlineLevel="0" collapsed="false">
      <c r="A13" s="225" t="s">
        <v>93</v>
      </c>
      <c r="B13" s="226"/>
      <c r="C13" s="227"/>
      <c r="D13" s="231"/>
      <c r="E13" s="231"/>
      <c r="F13" s="231"/>
      <c r="G13" s="232"/>
      <c r="H13" s="193" t="str">
        <f aca="false">IF(G13="","",G13*26.67)</f>
        <v/>
      </c>
      <c r="I13" s="193" t="str">
        <f aca="false">IF(G13="","",G13*26.67)</f>
        <v/>
      </c>
      <c r="J13" s="193" t="str">
        <f aca="false">IF(H13="","",IF(H13-I13&gt;0,H13-I13,0))</f>
        <v/>
      </c>
      <c r="K13" s="230" t="str">
        <f aca="false">IF(SUM(C13:G13)&gt;0,Anverso!$Q$3,"")</f>
        <v/>
      </c>
      <c r="L13" s="193" t="str">
        <f aca="false">IF(SUM(D13:G13)&gt;0,ROUND(J13*K13/100,2),"")</f>
        <v/>
      </c>
      <c r="M13" s="195" t="str">
        <f aca="false">IF(H13="","",H13-L13)</f>
        <v/>
      </c>
    </row>
    <row r="14" customFormat="false" ht="18.75" hidden="false" customHeight="true" outlineLevel="0" collapsed="false">
      <c r="A14" s="225" t="s">
        <v>94</v>
      </c>
      <c r="B14" s="226"/>
      <c r="C14" s="227"/>
      <c r="D14" s="228"/>
      <c r="E14" s="228"/>
      <c r="F14" s="228"/>
      <c r="G14" s="229"/>
      <c r="H14" s="193" t="str">
        <f aca="false">IF(D14="","",D14*45.68)</f>
        <v/>
      </c>
      <c r="I14" s="193" t="str">
        <f aca="false">IF(D14="","",D14*45.68)</f>
        <v/>
      </c>
      <c r="J14" s="193" t="str">
        <f aca="false">IF(H14="","",IF(H14-I14&gt;0,H14-I14,0))</f>
        <v/>
      </c>
      <c r="K14" s="230" t="str">
        <f aca="false">IF(SUM(C14:G14)&gt;0,Anverso!$Q$3,"")</f>
        <v/>
      </c>
      <c r="L14" s="193" t="str">
        <f aca="false">IF(SUM(D14:G14)&gt;0,ROUND(J14*K14/100,2),"")</f>
        <v/>
      </c>
      <c r="M14" s="195" t="str">
        <f aca="false">IF(H14="","",H14-L14)</f>
        <v/>
      </c>
    </row>
    <row r="15" customFormat="false" ht="18.75" hidden="false" customHeight="true" outlineLevel="0" collapsed="false">
      <c r="A15" s="225" t="s">
        <v>95</v>
      </c>
      <c r="B15" s="226"/>
      <c r="C15" s="233"/>
      <c r="D15" s="231"/>
      <c r="E15" s="231"/>
      <c r="F15" s="231"/>
      <c r="G15" s="234"/>
      <c r="H15" s="193" t="str">
        <f aca="false">IF(G15="","",G15*26.67)</f>
        <v/>
      </c>
      <c r="I15" s="193" t="str">
        <f aca="false">IF(G15="","",G15*26.67)</f>
        <v/>
      </c>
      <c r="J15" s="193" t="str">
        <f aca="false">IF(H15="","",IF(H15-I15&gt;0,H15-I15,0))</f>
        <v/>
      </c>
      <c r="K15" s="230" t="str">
        <f aca="false">IF(SUM(C15:G15)&gt;0,Anverso!$Q$3,"")</f>
        <v/>
      </c>
      <c r="L15" s="193" t="str">
        <f aca="false">IF(SUM(D15:G15)&gt;0,ROUND(J15*K15/100,2),"")</f>
        <v/>
      </c>
      <c r="M15" s="195" t="str">
        <f aca="false">IF(H15="","",H15-L15)</f>
        <v/>
      </c>
    </row>
    <row r="16" customFormat="false" ht="18.75" hidden="false" customHeight="true" outlineLevel="0" collapsed="false">
      <c r="A16" s="225" t="s">
        <v>96</v>
      </c>
      <c r="B16" s="226"/>
      <c r="C16" s="233"/>
      <c r="D16" s="228"/>
      <c r="E16" s="228"/>
      <c r="F16" s="228"/>
      <c r="G16" s="229"/>
      <c r="H16" s="193" t="str">
        <f aca="false">IF(D16="","",D16*91.35)</f>
        <v/>
      </c>
      <c r="I16" s="193" t="str">
        <f aca="false">IF(D16="","",D16*48.08)</f>
        <v/>
      </c>
      <c r="J16" s="193" t="str">
        <f aca="false">IF(H16="","",IF(H16-I16&gt;0,H16-I16,0))</f>
        <v/>
      </c>
      <c r="K16" s="230" t="str">
        <f aca="false">IF(SUM(C16:G16)&gt;0,Anverso!$Q$3,"")</f>
        <v/>
      </c>
      <c r="L16" s="193" t="str">
        <f aca="false">IF(SUM(D16:G16)&gt;0,ROUND(J16*K16/100,2),"")</f>
        <v/>
      </c>
      <c r="M16" s="195" t="str">
        <f aca="false">IF(H16="","",H16-L16)</f>
        <v/>
      </c>
    </row>
    <row r="17" customFormat="false" ht="18.75" hidden="false" customHeight="true" outlineLevel="0" collapsed="false">
      <c r="A17" s="225" t="s">
        <v>97</v>
      </c>
      <c r="B17" s="226"/>
      <c r="C17" s="233"/>
      <c r="D17" s="231"/>
      <c r="E17" s="231"/>
      <c r="F17" s="231"/>
      <c r="G17" s="235"/>
      <c r="H17" s="193" t="str">
        <f aca="false">IF(G17="","",G17*53.34)</f>
        <v/>
      </c>
      <c r="I17" s="193" t="str">
        <f aca="false">IF(G17="","",G17*26.67)</f>
        <v/>
      </c>
      <c r="J17" s="193" t="str">
        <f aca="false">IF(H17="","",IF(H17-I17&gt;0,H17-I17,0))</f>
        <v/>
      </c>
      <c r="K17" s="230" t="str">
        <f aca="false">IF(SUM(C17:G17)&gt;0,Anverso!$Q$3,"")</f>
        <v/>
      </c>
      <c r="L17" s="193" t="str">
        <f aca="false">IF(SUM(C17:G17)&gt;0,ROUND(J17*K17/100,2),"")</f>
        <v/>
      </c>
      <c r="M17" s="195" t="str">
        <f aca="false">IF(H17="","",H17-L17)</f>
        <v/>
      </c>
    </row>
    <row r="18" customFormat="false" ht="18.75" hidden="false" customHeight="true" outlineLevel="0" collapsed="false">
      <c r="A18" s="225" t="s">
        <v>98</v>
      </c>
      <c r="B18" s="236"/>
      <c r="C18" s="237"/>
      <c r="D18" s="228"/>
      <c r="E18" s="228"/>
      <c r="F18" s="228"/>
      <c r="G18" s="229"/>
      <c r="H18" s="193" t="str">
        <f aca="false">IF(D18="","",D18*91.35)</f>
        <v/>
      </c>
      <c r="I18" s="193" t="str">
        <f aca="false">IF(D18="","",D18*91.35)</f>
        <v/>
      </c>
      <c r="J18" s="193" t="str">
        <f aca="false">IF(H18="","",IF(H18-I18&gt;0,H18-I18,0))</f>
        <v/>
      </c>
      <c r="K18" s="230" t="str">
        <f aca="false">IF(SUM(C18:G18)&gt;0,Anverso!$Q$3,"")</f>
        <v/>
      </c>
      <c r="L18" s="193" t="str">
        <f aca="false">IF(SUM(C18:G18)&gt;0,ROUND(J18*K18/100,2),"")</f>
        <v/>
      </c>
      <c r="M18" s="195" t="str">
        <f aca="false">IF(H18="","",H18-L18)</f>
        <v/>
      </c>
    </row>
    <row r="19" customFormat="false" ht="18.75" hidden="false" customHeight="true" outlineLevel="0" collapsed="false">
      <c r="A19" s="225" t="s">
        <v>99</v>
      </c>
      <c r="B19" s="236"/>
      <c r="C19" s="237"/>
      <c r="D19" s="231"/>
      <c r="E19" s="231"/>
      <c r="F19" s="231"/>
      <c r="G19" s="238"/>
      <c r="H19" s="193" t="str">
        <f aca="false">IF(G19="","",G19*53.34)</f>
        <v/>
      </c>
      <c r="I19" s="193" t="str">
        <f aca="false">IF(G19="","",G19*53.34)</f>
        <v/>
      </c>
      <c r="J19" s="193" t="str">
        <f aca="false">IF(H19="","",IF(H19-I19&gt;0,H19-I19,0))</f>
        <v/>
      </c>
      <c r="K19" s="230" t="str">
        <f aca="false">IF(SUM(C19:G19)&gt;0,Anverso!$Q$3,"")</f>
        <v/>
      </c>
      <c r="L19" s="193" t="str">
        <f aca="false">IF(SUM(C19:G19)&gt;0,ROUND(J19*K19/100,2),"")</f>
        <v/>
      </c>
      <c r="M19" s="195" t="str">
        <f aca="false">IF(H19="","",H19-L19)</f>
        <v/>
      </c>
    </row>
    <row r="20" customFormat="false" ht="19.5" hidden="false" customHeight="true" outlineLevel="0" collapsed="false">
      <c r="A20" s="239" t="s">
        <v>100</v>
      </c>
      <c r="B20" s="239"/>
      <c r="C20" s="240" t="n">
        <f aca="false">SUM(C12:G15)+(SUM(C16:G19)*2)</f>
        <v>0</v>
      </c>
      <c r="D20" s="240"/>
      <c r="E20" s="240"/>
      <c r="F20" s="240"/>
      <c r="G20" s="240"/>
      <c r="H20" s="212" t="n">
        <f aca="false">SUM(H12:H19)</f>
        <v>0</v>
      </c>
      <c r="I20" s="212" t="n">
        <f aca="false">SUM(I12:I19)</f>
        <v>0</v>
      </c>
      <c r="J20" s="212" t="n">
        <f aca="false">SUM(J12:J19)</f>
        <v>0</v>
      </c>
      <c r="K20" s="230" t="n">
        <f aca="false">Anverso!$Q$3</f>
        <v>0</v>
      </c>
      <c r="L20" s="212" t="n">
        <f aca="false">SUM(L12:L19)</f>
        <v>0</v>
      </c>
      <c r="M20" s="212" t="n">
        <f aca="false">SUM(M12:M19)</f>
        <v>0</v>
      </c>
    </row>
    <row r="21" customFormat="false" ht="15.75" hidden="false" customHeight="true" outlineLevel="0" collapsed="false">
      <c r="A21" s="241"/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8"/>
    </row>
    <row r="22" customFormat="false" ht="19.5" hidden="false" customHeight="true" outlineLevel="0" collapsed="false">
      <c r="A22" s="242" t="s">
        <v>64</v>
      </c>
      <c r="B22" s="242"/>
      <c r="C22" s="188" t="s">
        <v>101</v>
      </c>
      <c r="D22" s="188"/>
      <c r="E22" s="243" t="s">
        <v>102</v>
      </c>
      <c r="F22" s="243"/>
      <c r="G22" s="243"/>
      <c r="H22" s="188" t="s">
        <v>79</v>
      </c>
      <c r="I22" s="188" t="s">
        <v>80</v>
      </c>
      <c r="J22" s="188" t="s">
        <v>81</v>
      </c>
      <c r="K22" s="188" t="s">
        <v>82</v>
      </c>
      <c r="L22" s="188" t="s">
        <v>83</v>
      </c>
      <c r="M22" s="189" t="s">
        <v>84</v>
      </c>
    </row>
    <row r="23" customFormat="false" ht="19.5" hidden="false" customHeight="true" outlineLevel="0" collapsed="false">
      <c r="A23" s="244" t="s">
        <v>103</v>
      </c>
      <c r="B23" s="244"/>
      <c r="C23" s="235"/>
      <c r="D23" s="235"/>
      <c r="E23" s="245"/>
      <c r="F23" s="245"/>
      <c r="G23" s="245"/>
      <c r="H23" s="246" t="str">
        <f aca="false">IF(C23="","",IF(E23/C23&gt;102.56,C23*102.56,E23))</f>
        <v/>
      </c>
      <c r="I23" s="193" t="str">
        <f aca="false">IF(H23="","",H23)</f>
        <v/>
      </c>
      <c r="J23" s="193" t="str">
        <f aca="false">IF(E23&gt;0,IF(E23&lt;H23,H23-E23,0),"")</f>
        <v/>
      </c>
      <c r="K23" s="230" t="str">
        <f aca="false">IF(J23="","",Anverso!$Q$3)</f>
        <v/>
      </c>
      <c r="L23" s="193" t="str">
        <f aca="false">IF(E23&gt;0,ROUND(J23*K23/100,2),"")</f>
        <v/>
      </c>
      <c r="M23" s="247" t="str">
        <f aca="false">IF(E23,H23-L23,"")</f>
        <v/>
      </c>
    </row>
    <row r="24" customFormat="false" ht="18.75" hidden="false" customHeight="true" outlineLevel="0" collapsed="false">
      <c r="A24" s="248"/>
      <c r="B24" s="249"/>
      <c r="C24" s="250"/>
      <c r="D24" s="250"/>
      <c r="E24" s="237"/>
      <c r="F24" s="237"/>
      <c r="G24" s="237"/>
      <c r="H24" s="193"/>
      <c r="I24" s="193"/>
      <c r="J24" s="193"/>
      <c r="K24" s="230"/>
      <c r="L24" s="193"/>
      <c r="M24" s="247"/>
    </row>
    <row r="25" customFormat="false" ht="18.75" hidden="false" customHeight="true" outlineLevel="0" collapsed="false">
      <c r="A25" s="251" t="s">
        <v>104</v>
      </c>
      <c r="B25" s="251"/>
      <c r="C25" s="235"/>
      <c r="D25" s="235"/>
      <c r="E25" s="245"/>
      <c r="F25" s="245"/>
      <c r="G25" s="245"/>
      <c r="H25" s="193" t="str">
        <f aca="false">IF(C25="","",IF(E25/C25&gt;VLOOKUP(A25,P37:Q132,2,0),C25*VLOOKUP(A25,P37:Q135,2,0),E25))</f>
        <v/>
      </c>
      <c r="I25" s="193" t="str">
        <f aca="false">IF(E25&gt;0,IF(E25&gt;H25,H25,E25),"")</f>
        <v/>
      </c>
      <c r="J25" s="193" t="str">
        <f aca="false">IF(E25&gt;0,IF(E25&lt;H25,H25-E25,0),"")</f>
        <v/>
      </c>
      <c r="K25" s="230" t="str">
        <f aca="false">IF(J25="","",Anverso!$Q$3)</f>
        <v/>
      </c>
      <c r="L25" s="193" t="str">
        <f aca="false">IF(E25&gt;0,ROUND(J25*K25/100,2),"")</f>
        <v/>
      </c>
      <c r="M25" s="247" t="str">
        <f aca="false">IF(E25,H25-L25,"")</f>
        <v/>
      </c>
    </row>
    <row r="26" customFormat="false" ht="19.5" hidden="false" customHeight="true" outlineLevel="0" collapsed="false">
      <c r="A26" s="252"/>
      <c r="B26" s="252"/>
      <c r="C26" s="250"/>
      <c r="D26" s="250"/>
      <c r="E26" s="237"/>
      <c r="F26" s="237"/>
      <c r="G26" s="237"/>
      <c r="H26" s="193"/>
      <c r="I26" s="193"/>
      <c r="J26" s="193"/>
      <c r="K26" s="230"/>
      <c r="L26" s="193"/>
      <c r="M26" s="247"/>
    </row>
    <row r="27" customFormat="false" ht="19.5" hidden="false" customHeight="true" outlineLevel="0" collapsed="false">
      <c r="A27" s="239" t="s">
        <v>105</v>
      </c>
      <c r="B27" s="239"/>
      <c r="C27" s="253" t="n">
        <f aca="false">SUM(C23:C26)</f>
        <v>0</v>
      </c>
      <c r="D27" s="253"/>
      <c r="E27" s="254" t="n">
        <f aca="false">SUM(E23:E26)</f>
        <v>0</v>
      </c>
      <c r="F27" s="254"/>
      <c r="G27" s="254"/>
      <c r="H27" s="212" t="n">
        <f aca="false">SUM(H23:H26)</f>
        <v>0</v>
      </c>
      <c r="I27" s="212" t="n">
        <f aca="false">SUM(I23:I26)</f>
        <v>0</v>
      </c>
      <c r="J27" s="214" t="n">
        <f aca="false">IF(SUM(J23:J26)=0,0,SUM(J23:J26))</f>
        <v>0</v>
      </c>
      <c r="K27" s="230" t="str">
        <f aca="false">IF(C27&gt;0,Anverso!$Q$3,"")</f>
        <v/>
      </c>
      <c r="L27" s="212" t="n">
        <f aca="false">SUM(L23:L26)</f>
        <v>0</v>
      </c>
      <c r="M27" s="247" t="n">
        <f aca="false">SUM(M23:M26)</f>
        <v>0</v>
      </c>
    </row>
    <row r="28" customFormat="false" ht="12" hidden="false" customHeight="true" outlineLevel="0" collapsed="false">
      <c r="A28" s="255"/>
      <c r="B28" s="256"/>
      <c r="C28" s="256"/>
      <c r="D28" s="256"/>
      <c r="E28" s="256"/>
      <c r="F28" s="256"/>
      <c r="G28" s="257"/>
      <c r="H28" s="257"/>
      <c r="I28" s="257"/>
      <c r="J28" s="257"/>
      <c r="K28" s="256"/>
      <c r="L28" s="257"/>
      <c r="M28" s="258"/>
    </row>
    <row r="29" customFormat="false" ht="12.75" hidden="false" customHeight="true" outlineLevel="0" collapsed="false">
      <c r="A29" s="259"/>
      <c r="B29" s="260"/>
      <c r="C29" s="260"/>
      <c r="D29" s="260"/>
      <c r="E29" s="260"/>
      <c r="F29" s="260"/>
      <c r="G29" s="260"/>
      <c r="H29" s="261" t="s">
        <v>79</v>
      </c>
      <c r="I29" s="261" t="s">
        <v>80</v>
      </c>
      <c r="J29" s="261" t="s">
        <v>106</v>
      </c>
      <c r="K29" s="261" t="s">
        <v>82</v>
      </c>
      <c r="L29" s="261" t="s">
        <v>107</v>
      </c>
      <c r="M29" s="262" t="s">
        <v>84</v>
      </c>
    </row>
    <row r="30" customFormat="false" ht="25.5" hidden="false" customHeight="true" outlineLevel="0" collapsed="false">
      <c r="A30" s="263" t="s">
        <v>69</v>
      </c>
      <c r="B30" s="263"/>
      <c r="C30" s="263"/>
      <c r="D30" s="263"/>
      <c r="E30" s="263"/>
      <c r="F30" s="263"/>
      <c r="G30" s="264"/>
      <c r="H30" s="265" t="n">
        <f aca="false">H8+H20+H27</f>
        <v>0</v>
      </c>
      <c r="I30" s="265" t="n">
        <f aca="false">I8+I20+I27</f>
        <v>0</v>
      </c>
      <c r="J30" s="266" t="n">
        <f aca="false">J8+J20+J27</f>
        <v>0</v>
      </c>
      <c r="K30" s="230" t="n">
        <f aca="false">Anverso!$Q$3</f>
        <v>0</v>
      </c>
      <c r="L30" s="266" t="n">
        <f aca="false">L8+L20+L27</f>
        <v>0</v>
      </c>
      <c r="M30" s="267" t="n">
        <f aca="false">M8+M20+M27</f>
        <v>0</v>
      </c>
    </row>
    <row r="31" customFormat="false" ht="5.25" hidden="false" customHeight="true" outlineLevel="0" collapsed="false">
      <c r="A31" s="268"/>
      <c r="B31" s="269"/>
      <c r="C31" s="269"/>
      <c r="D31" s="269"/>
      <c r="E31" s="269"/>
      <c r="F31" s="269"/>
      <c r="G31" s="269"/>
      <c r="H31" s="269"/>
      <c r="I31" s="269"/>
      <c r="J31" s="269"/>
      <c r="K31" s="269"/>
      <c r="L31" s="269"/>
      <c r="M31" s="270"/>
    </row>
    <row r="32" customFormat="false" ht="12.75" hidden="false" customHeight="false" outlineLevel="0" collapsed="false">
      <c r="A32" s="271"/>
      <c r="B32" s="271"/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71"/>
    </row>
    <row r="36" customFormat="false" ht="114.75" hidden="false" customHeight="true" outlineLevel="0" collapsed="false">
      <c r="H36" s="272"/>
      <c r="I36" s="272"/>
      <c r="P36" s="273" t="s">
        <v>108</v>
      </c>
      <c r="Q36" s="273"/>
    </row>
    <row r="37" customFormat="false" ht="14.5" hidden="false" customHeight="false" outlineLevel="0" collapsed="false">
      <c r="H37" s="274"/>
      <c r="I37" s="274"/>
      <c r="P37" s="275" t="s">
        <v>109</v>
      </c>
      <c r="Q37" s="276" t="n">
        <v>155.66</v>
      </c>
    </row>
    <row r="38" customFormat="false" ht="14.5" hidden="false" customHeight="false" outlineLevel="0" collapsed="false">
      <c r="H38" s="274"/>
      <c r="I38" s="274"/>
      <c r="P38" s="275" t="s">
        <v>110</v>
      </c>
      <c r="Q38" s="276" t="n">
        <v>54.69</v>
      </c>
    </row>
    <row r="39" customFormat="false" ht="14.5" hidden="false" customHeight="false" outlineLevel="0" collapsed="false">
      <c r="H39" s="274"/>
      <c r="I39" s="274"/>
      <c r="P39" s="275" t="s">
        <v>111</v>
      </c>
      <c r="Q39" s="276" t="n">
        <v>158.67</v>
      </c>
    </row>
    <row r="40" customFormat="false" ht="27" hidden="false" customHeight="false" outlineLevel="0" collapsed="false">
      <c r="H40" s="274"/>
      <c r="I40" s="274"/>
      <c r="P40" s="275" t="s">
        <v>112</v>
      </c>
      <c r="Q40" s="276" t="n">
        <v>86.55</v>
      </c>
    </row>
    <row r="41" customFormat="false" ht="14.5" hidden="false" customHeight="false" outlineLevel="0" collapsed="false">
      <c r="H41" s="274"/>
      <c r="I41" s="274"/>
      <c r="P41" s="275" t="s">
        <v>113</v>
      </c>
      <c r="Q41" s="276" t="n">
        <v>119</v>
      </c>
    </row>
    <row r="42" customFormat="false" ht="27" hidden="false" customHeight="false" outlineLevel="0" collapsed="false">
      <c r="H42" s="274"/>
      <c r="I42" s="274"/>
      <c r="P42" s="275" t="s">
        <v>114</v>
      </c>
      <c r="Q42" s="276" t="n">
        <v>130.42</v>
      </c>
    </row>
    <row r="43" customFormat="false" ht="27" hidden="false" customHeight="false" outlineLevel="0" collapsed="false">
      <c r="H43" s="274"/>
      <c r="I43" s="274"/>
      <c r="P43" s="275" t="s">
        <v>115</v>
      </c>
      <c r="Q43" s="276" t="n">
        <v>94.96</v>
      </c>
    </row>
    <row r="44" customFormat="false" ht="14.5" hidden="false" customHeight="false" outlineLevel="0" collapsed="false">
      <c r="H44" s="274"/>
      <c r="I44" s="274"/>
      <c r="P44" s="275" t="s">
        <v>116</v>
      </c>
      <c r="Q44" s="276" t="n">
        <v>112.39</v>
      </c>
    </row>
    <row r="45" customFormat="false" ht="14.5" hidden="false" customHeight="false" outlineLevel="0" collapsed="false">
      <c r="H45" s="274"/>
      <c r="I45" s="274"/>
      <c r="P45" s="275" t="s">
        <v>117</v>
      </c>
      <c r="Q45" s="276" t="n">
        <v>174.29</v>
      </c>
    </row>
    <row r="46" customFormat="false" ht="14.5" hidden="false" customHeight="false" outlineLevel="0" collapsed="false">
      <c r="H46" s="274"/>
      <c r="I46" s="274"/>
      <c r="P46" s="275" t="s">
        <v>118</v>
      </c>
      <c r="Q46" s="276" t="n">
        <v>60.1</v>
      </c>
    </row>
    <row r="47" customFormat="false" ht="39.5" hidden="false" customHeight="false" outlineLevel="0" collapsed="false">
      <c r="H47" s="274"/>
      <c r="I47" s="274"/>
      <c r="P47" s="275" t="s">
        <v>119</v>
      </c>
      <c r="Q47" s="276" t="n">
        <v>85.34</v>
      </c>
    </row>
    <row r="48" customFormat="false" ht="14.5" hidden="false" customHeight="false" outlineLevel="0" collapsed="false">
      <c r="H48" s="274"/>
      <c r="I48" s="274"/>
      <c r="P48" s="275" t="s">
        <v>120</v>
      </c>
      <c r="Q48" s="276" t="n">
        <v>150.25</v>
      </c>
    </row>
    <row r="49" customFormat="false" ht="14.5" hidden="false" customHeight="false" outlineLevel="0" collapsed="false">
      <c r="H49" s="274"/>
      <c r="I49" s="274"/>
      <c r="P49" s="275" t="s">
        <v>121</v>
      </c>
      <c r="Q49" s="276" t="n">
        <v>62.51</v>
      </c>
    </row>
    <row r="50" customFormat="false" ht="14.5" hidden="false" customHeight="false" outlineLevel="0" collapsed="false">
      <c r="H50" s="274"/>
      <c r="I50" s="274"/>
      <c r="P50" s="275" t="s">
        <v>122</v>
      </c>
      <c r="Q50" s="276" t="n">
        <v>103.37</v>
      </c>
    </row>
    <row r="51" customFormat="false" ht="14.5" hidden="false" customHeight="false" outlineLevel="0" collapsed="false">
      <c r="H51" s="274"/>
      <c r="I51" s="274"/>
      <c r="P51" s="275" t="s">
        <v>123</v>
      </c>
      <c r="Q51" s="276" t="n">
        <v>110.59</v>
      </c>
    </row>
    <row r="52" customFormat="false" ht="14.5" hidden="false" customHeight="false" outlineLevel="0" collapsed="false">
      <c r="H52" s="274"/>
      <c r="I52" s="274"/>
      <c r="P52" s="275" t="s">
        <v>124</v>
      </c>
      <c r="Q52" s="276" t="n">
        <v>120.2</v>
      </c>
    </row>
    <row r="53" customFormat="false" ht="14.5" hidden="false" customHeight="false" outlineLevel="0" collapsed="false">
      <c r="H53" s="274"/>
      <c r="I53" s="274"/>
      <c r="P53" s="275" t="s">
        <v>125</v>
      </c>
      <c r="Q53" s="276" t="n">
        <v>84.14</v>
      </c>
    </row>
    <row r="54" customFormat="false" ht="14.5" hidden="false" customHeight="false" outlineLevel="0" collapsed="false">
      <c r="H54" s="274"/>
      <c r="I54" s="274"/>
      <c r="P54" s="275" t="s">
        <v>126</v>
      </c>
      <c r="Q54" s="276" t="n">
        <v>145.44</v>
      </c>
    </row>
    <row r="55" customFormat="false" ht="14.5" hidden="false" customHeight="false" outlineLevel="0" collapsed="false">
      <c r="H55" s="274"/>
      <c r="I55" s="274"/>
      <c r="P55" s="275" t="s">
        <v>127</v>
      </c>
      <c r="Q55" s="276" t="n">
        <v>120.2</v>
      </c>
    </row>
    <row r="56" customFormat="false" ht="27" hidden="false" customHeight="false" outlineLevel="0" collapsed="false">
      <c r="H56" s="274"/>
      <c r="I56" s="274"/>
      <c r="P56" s="275" t="s">
        <v>128</v>
      </c>
      <c r="Q56" s="276" t="n">
        <v>72.12</v>
      </c>
    </row>
    <row r="57" customFormat="false" ht="27" hidden="false" customHeight="false" outlineLevel="0" collapsed="false">
      <c r="H57" s="274"/>
      <c r="I57" s="274"/>
      <c r="P57" s="275" t="s">
        <v>129</v>
      </c>
      <c r="Q57" s="276" t="n">
        <v>76.93</v>
      </c>
    </row>
    <row r="58" customFormat="false" ht="14.5" hidden="false" customHeight="false" outlineLevel="0" collapsed="false">
      <c r="H58" s="274"/>
      <c r="I58" s="274"/>
      <c r="P58" s="275" t="s">
        <v>130</v>
      </c>
      <c r="Q58" s="276" t="n">
        <v>85.34</v>
      </c>
    </row>
    <row r="59" customFormat="false" ht="14.5" hidden="false" customHeight="false" outlineLevel="0" collapsed="false">
      <c r="H59" s="274"/>
      <c r="I59" s="274"/>
      <c r="P59" s="275" t="s">
        <v>131</v>
      </c>
      <c r="Q59" s="276" t="n">
        <v>66.11</v>
      </c>
    </row>
    <row r="60" customFormat="false" ht="27" hidden="false" customHeight="false" outlineLevel="0" collapsed="false">
      <c r="H60" s="274"/>
      <c r="I60" s="274"/>
      <c r="P60" s="275" t="s">
        <v>132</v>
      </c>
      <c r="Q60" s="276" t="n">
        <v>144.24</v>
      </c>
    </row>
    <row r="61" customFormat="false" ht="39.5" hidden="false" customHeight="false" outlineLevel="0" collapsed="false">
      <c r="H61" s="274"/>
      <c r="I61" s="274"/>
      <c r="P61" s="275" t="s">
        <v>133</v>
      </c>
      <c r="Q61" s="276" t="n">
        <v>75.13</v>
      </c>
    </row>
    <row r="62" customFormat="false" ht="14.5" hidden="false" customHeight="false" outlineLevel="0" collapsed="false">
      <c r="H62" s="274"/>
      <c r="I62" s="274"/>
      <c r="P62" s="275" t="s">
        <v>134</v>
      </c>
      <c r="Q62" s="276" t="n">
        <v>75.73</v>
      </c>
    </row>
    <row r="63" customFormat="false" ht="14.5" hidden="false" customHeight="false" outlineLevel="0" collapsed="false">
      <c r="H63" s="274"/>
      <c r="I63" s="274"/>
      <c r="P63" s="275" t="s">
        <v>135</v>
      </c>
      <c r="Q63" s="276" t="n">
        <v>106.98</v>
      </c>
    </row>
    <row r="64" customFormat="false" ht="27" hidden="false" customHeight="false" outlineLevel="0" collapsed="false">
      <c r="H64" s="274"/>
      <c r="I64" s="274"/>
      <c r="P64" s="275" t="s">
        <v>136</v>
      </c>
      <c r="Q64" s="276" t="n">
        <v>77.53</v>
      </c>
    </row>
    <row r="65" customFormat="false" ht="39.5" hidden="false" customHeight="false" outlineLevel="0" collapsed="false">
      <c r="H65" s="274"/>
      <c r="I65" s="274"/>
      <c r="P65" s="275" t="s">
        <v>137</v>
      </c>
      <c r="Q65" s="276" t="n">
        <v>119</v>
      </c>
    </row>
    <row r="66" customFormat="false" ht="27" hidden="false" customHeight="false" outlineLevel="0" collapsed="false">
      <c r="H66" s="274"/>
      <c r="I66" s="274"/>
      <c r="P66" s="275" t="s">
        <v>138</v>
      </c>
      <c r="Q66" s="276" t="n">
        <v>88.95</v>
      </c>
    </row>
    <row r="67" customFormat="false" ht="27" hidden="false" customHeight="false" outlineLevel="0" collapsed="false">
      <c r="H67" s="274"/>
      <c r="I67" s="274"/>
      <c r="P67" s="275" t="s">
        <v>139</v>
      </c>
      <c r="Q67" s="276" t="n">
        <v>168.28</v>
      </c>
    </row>
    <row r="68" customFormat="false" ht="14.5" hidden="false" customHeight="false" outlineLevel="0" collapsed="false">
      <c r="H68" s="274"/>
      <c r="I68" s="274"/>
      <c r="P68" s="275" t="s">
        <v>140</v>
      </c>
      <c r="Q68" s="276" t="n">
        <v>140.04</v>
      </c>
    </row>
    <row r="69" customFormat="false" ht="14.5" hidden="false" customHeight="false" outlineLevel="0" collapsed="false">
      <c r="H69" s="274"/>
      <c r="I69" s="274"/>
      <c r="P69" s="275" t="s">
        <v>141</v>
      </c>
      <c r="Q69" s="276" t="n">
        <v>84.14</v>
      </c>
    </row>
    <row r="70" customFormat="false" ht="14.5" hidden="false" customHeight="false" outlineLevel="0" collapsed="false">
      <c r="H70" s="274"/>
      <c r="I70" s="274"/>
      <c r="P70" s="275" t="s">
        <v>142</v>
      </c>
      <c r="Q70" s="276" t="n">
        <v>134.63</v>
      </c>
    </row>
    <row r="71" customFormat="false" ht="14.5" hidden="false" customHeight="false" outlineLevel="0" collapsed="false">
      <c r="H71" s="274"/>
      <c r="I71" s="274"/>
      <c r="P71" s="275" t="s">
        <v>143</v>
      </c>
      <c r="Q71" s="276" t="n">
        <v>144.24</v>
      </c>
    </row>
    <row r="72" customFormat="false" ht="14.5" hidden="false" customHeight="false" outlineLevel="0" collapsed="false">
      <c r="H72" s="274"/>
      <c r="I72" s="274"/>
      <c r="P72" s="275" t="s">
        <v>144</v>
      </c>
      <c r="Q72" s="276" t="n">
        <v>117.8</v>
      </c>
    </row>
    <row r="73" customFormat="false" ht="14.5" hidden="false" customHeight="false" outlineLevel="0" collapsed="false">
      <c r="H73" s="274"/>
      <c r="I73" s="274"/>
      <c r="P73" s="275" t="s">
        <v>145</v>
      </c>
      <c r="Q73" s="276" t="n">
        <v>78.13</v>
      </c>
    </row>
    <row r="74" customFormat="false" ht="14.5" hidden="false" customHeight="false" outlineLevel="0" collapsed="false">
      <c r="H74" s="274"/>
      <c r="I74" s="274"/>
      <c r="P74" s="275" t="s">
        <v>146</v>
      </c>
      <c r="Q74" s="276" t="n">
        <v>81.14</v>
      </c>
    </row>
    <row r="75" customFormat="false" ht="27" hidden="false" customHeight="false" outlineLevel="0" collapsed="false">
      <c r="H75" s="274"/>
      <c r="I75" s="274"/>
      <c r="P75" s="275" t="s">
        <v>147</v>
      </c>
      <c r="Q75" s="276" t="n">
        <v>105.18</v>
      </c>
    </row>
    <row r="76" customFormat="false" ht="39.5" hidden="false" customHeight="false" outlineLevel="0" collapsed="false">
      <c r="H76" s="274"/>
      <c r="I76" s="274"/>
      <c r="P76" s="275" t="s">
        <v>148</v>
      </c>
      <c r="Q76" s="276" t="n">
        <v>102.77</v>
      </c>
    </row>
    <row r="77" customFormat="false" ht="14.5" hidden="false" customHeight="false" outlineLevel="0" collapsed="false">
      <c r="H77" s="274"/>
      <c r="I77" s="274"/>
      <c r="P77" s="275" t="s">
        <v>149</v>
      </c>
      <c r="Q77" s="276" t="n">
        <v>52.89</v>
      </c>
    </row>
    <row r="78" customFormat="false" ht="27" hidden="false" customHeight="false" outlineLevel="0" collapsed="false">
      <c r="H78" s="274"/>
      <c r="I78" s="274"/>
      <c r="P78" s="275" t="s">
        <v>150</v>
      </c>
      <c r="Q78" s="276" t="n">
        <v>81.74</v>
      </c>
    </row>
    <row r="79" customFormat="false" ht="27" hidden="false" customHeight="false" outlineLevel="0" collapsed="false">
      <c r="H79" s="274"/>
      <c r="I79" s="274"/>
      <c r="P79" s="275" t="s">
        <v>151</v>
      </c>
      <c r="Q79" s="276" t="n">
        <v>142.44</v>
      </c>
    </row>
    <row r="80" customFormat="false" ht="14.5" hidden="false" customHeight="false" outlineLevel="0" collapsed="false">
      <c r="H80" s="274"/>
      <c r="I80" s="274"/>
      <c r="P80" s="275" t="s">
        <v>152</v>
      </c>
      <c r="Q80" s="276" t="n">
        <v>135.23</v>
      </c>
    </row>
    <row r="81" customFormat="false" ht="14.5" hidden="false" customHeight="false" outlineLevel="0" collapsed="false">
      <c r="H81" s="274"/>
      <c r="I81" s="274"/>
      <c r="P81" s="275" t="s">
        <v>153</v>
      </c>
      <c r="Q81" s="276" t="n">
        <v>117.2</v>
      </c>
    </row>
    <row r="82" customFormat="false" ht="14.5" hidden="false" customHeight="false" outlineLevel="0" collapsed="false">
      <c r="H82" s="274"/>
      <c r="I82" s="274"/>
      <c r="P82" s="275" t="s">
        <v>154</v>
      </c>
      <c r="Q82" s="276" t="n">
        <v>120.2</v>
      </c>
    </row>
    <row r="83" customFormat="false" ht="14.5" hidden="false" customHeight="false" outlineLevel="0" collapsed="false">
      <c r="H83" s="274"/>
      <c r="I83" s="274"/>
      <c r="P83" s="275" t="s">
        <v>155</v>
      </c>
      <c r="Q83" s="276" t="n">
        <v>77.53</v>
      </c>
    </row>
    <row r="84" customFormat="false" ht="14.5" hidden="false" customHeight="false" outlineLevel="0" collapsed="false">
      <c r="H84" s="274"/>
      <c r="I84" s="274"/>
      <c r="P84" s="275" t="s">
        <v>156</v>
      </c>
      <c r="Q84" s="276" t="n">
        <v>94.36</v>
      </c>
    </row>
    <row r="85" customFormat="false" ht="14.5" hidden="false" customHeight="false" outlineLevel="0" collapsed="false">
      <c r="H85" s="274"/>
      <c r="I85" s="274"/>
      <c r="P85" s="275" t="s">
        <v>157</v>
      </c>
      <c r="Q85" s="276" t="n">
        <v>109.38</v>
      </c>
    </row>
    <row r="86" customFormat="false" ht="14.5" hidden="false" customHeight="false" outlineLevel="0" collapsed="false">
      <c r="H86" s="274"/>
      <c r="I86" s="274"/>
      <c r="P86" s="275" t="s">
        <v>158</v>
      </c>
      <c r="Q86" s="276" t="n">
        <v>108.78</v>
      </c>
    </row>
    <row r="87" customFormat="false" ht="14.5" hidden="false" customHeight="false" outlineLevel="0" collapsed="false">
      <c r="H87" s="274"/>
      <c r="I87" s="274"/>
      <c r="P87" s="275" t="s">
        <v>159</v>
      </c>
      <c r="Q87" s="276" t="n">
        <v>153.86</v>
      </c>
    </row>
    <row r="88" customFormat="false" ht="14.5" hidden="false" customHeight="false" outlineLevel="0" collapsed="false">
      <c r="H88" s="274"/>
      <c r="I88" s="274"/>
      <c r="P88" s="275" t="s">
        <v>160</v>
      </c>
      <c r="Q88" s="276" t="n">
        <v>90.15</v>
      </c>
    </row>
    <row r="89" customFormat="false" ht="14.5" hidden="false" customHeight="false" outlineLevel="0" collapsed="false">
      <c r="H89" s="274"/>
      <c r="I89" s="274"/>
      <c r="P89" s="275" t="s">
        <v>161</v>
      </c>
      <c r="Q89" s="276" t="n">
        <v>187.52</v>
      </c>
    </row>
    <row r="90" customFormat="false" ht="14.5" hidden="false" customHeight="false" outlineLevel="0" collapsed="false">
      <c r="H90" s="274"/>
      <c r="I90" s="274"/>
      <c r="P90" s="275" t="s">
        <v>162</v>
      </c>
      <c r="Q90" s="276" t="n">
        <v>109.38</v>
      </c>
    </row>
    <row r="91" customFormat="false" ht="14.5" hidden="false" customHeight="false" outlineLevel="0" collapsed="false">
      <c r="H91" s="274"/>
      <c r="I91" s="274"/>
      <c r="P91" s="275" t="s">
        <v>163</v>
      </c>
      <c r="Q91" s="276" t="n">
        <v>96.76</v>
      </c>
    </row>
    <row r="92" customFormat="false" ht="14.5" hidden="false" customHeight="false" outlineLevel="0" collapsed="false">
      <c r="H92" s="274"/>
      <c r="I92" s="274"/>
      <c r="P92" s="275" t="s">
        <v>164</v>
      </c>
      <c r="Q92" s="276" t="n">
        <v>144.24</v>
      </c>
    </row>
    <row r="93" customFormat="false" ht="14.5" hidden="false" customHeight="false" outlineLevel="0" collapsed="false">
      <c r="H93" s="274"/>
      <c r="I93" s="274"/>
      <c r="P93" s="275" t="s">
        <v>165</v>
      </c>
      <c r="Q93" s="276" t="n">
        <v>135.23</v>
      </c>
    </row>
    <row r="94" customFormat="false" ht="14.5" hidden="false" customHeight="false" outlineLevel="0" collapsed="false">
      <c r="H94" s="274"/>
      <c r="I94" s="274"/>
      <c r="P94" s="275" t="s">
        <v>166</v>
      </c>
      <c r="Q94" s="276" t="n">
        <v>119.6</v>
      </c>
    </row>
    <row r="95" customFormat="false" ht="27" hidden="false" customHeight="false" outlineLevel="0" collapsed="false">
      <c r="H95" s="274"/>
      <c r="I95" s="274"/>
      <c r="P95" s="275" t="s">
        <v>167</v>
      </c>
      <c r="Q95" s="276" t="n">
        <v>159.27</v>
      </c>
    </row>
    <row r="96" customFormat="false" ht="14.5" hidden="false" customHeight="false" outlineLevel="0" collapsed="false">
      <c r="H96" s="274"/>
      <c r="I96" s="274"/>
      <c r="P96" s="275" t="s">
        <v>168</v>
      </c>
      <c r="Q96" s="276" t="n">
        <v>108.18</v>
      </c>
    </row>
    <row r="97" customFormat="false" ht="14.5" hidden="false" customHeight="false" outlineLevel="0" collapsed="false">
      <c r="H97" s="274"/>
      <c r="I97" s="274"/>
      <c r="P97" s="275" t="s">
        <v>169</v>
      </c>
      <c r="Q97" s="276" t="n">
        <v>54.09</v>
      </c>
    </row>
    <row r="98" customFormat="false" ht="27" hidden="false" customHeight="false" outlineLevel="0" collapsed="false">
      <c r="H98" s="274"/>
      <c r="I98" s="274"/>
      <c r="P98" s="275" t="s">
        <v>170</v>
      </c>
      <c r="Q98" s="276" t="n">
        <v>116.6</v>
      </c>
    </row>
    <row r="99" customFormat="false" ht="27" hidden="false" customHeight="false" outlineLevel="0" collapsed="false">
      <c r="H99" s="274"/>
      <c r="I99" s="274"/>
      <c r="P99" s="275" t="s">
        <v>171</v>
      </c>
      <c r="Q99" s="276" t="n">
        <v>57.7</v>
      </c>
    </row>
    <row r="100" customFormat="false" ht="14.5" hidden="false" customHeight="false" outlineLevel="0" collapsed="false">
      <c r="H100" s="274"/>
      <c r="I100" s="274"/>
      <c r="P100" s="275" t="s">
        <v>172</v>
      </c>
      <c r="Q100" s="276" t="n">
        <v>96.16</v>
      </c>
    </row>
    <row r="101" customFormat="false" ht="27" hidden="false" customHeight="false" outlineLevel="0" collapsed="false">
      <c r="H101" s="274"/>
      <c r="I101" s="274"/>
      <c r="P101" s="275" t="s">
        <v>173</v>
      </c>
      <c r="Q101" s="276" t="n">
        <v>78.73</v>
      </c>
    </row>
    <row r="102" customFormat="false" ht="27" hidden="false" customHeight="false" outlineLevel="0" collapsed="false">
      <c r="H102" s="274"/>
      <c r="I102" s="274"/>
      <c r="P102" s="275" t="s">
        <v>174</v>
      </c>
      <c r="Q102" s="276" t="n">
        <v>110.59</v>
      </c>
    </row>
    <row r="103" customFormat="false" ht="14.5" hidden="false" customHeight="false" outlineLevel="0" collapsed="false">
      <c r="H103" s="274"/>
      <c r="I103" s="274"/>
      <c r="P103" s="275" t="s">
        <v>175</v>
      </c>
      <c r="Q103" s="276" t="n">
        <v>138.23</v>
      </c>
    </row>
    <row r="104" customFormat="false" ht="14.5" hidden="false" customHeight="false" outlineLevel="0" collapsed="false">
      <c r="H104" s="274"/>
      <c r="I104" s="274"/>
      <c r="P104" s="275" t="s">
        <v>176</v>
      </c>
      <c r="Q104" s="276" t="n">
        <v>156.26</v>
      </c>
    </row>
    <row r="105" customFormat="false" ht="27" hidden="false" customHeight="false" outlineLevel="0" collapsed="false">
      <c r="H105" s="274"/>
      <c r="I105" s="274"/>
      <c r="P105" s="275" t="s">
        <v>177</v>
      </c>
      <c r="Q105" s="276" t="n">
        <v>76.93</v>
      </c>
    </row>
    <row r="106" customFormat="false" ht="27" hidden="false" customHeight="false" outlineLevel="0" collapsed="false">
      <c r="H106" s="274"/>
      <c r="I106" s="274"/>
      <c r="P106" s="275" t="s">
        <v>178</v>
      </c>
      <c r="Q106" s="276" t="n">
        <v>149.05</v>
      </c>
    </row>
    <row r="107" customFormat="false" ht="14.5" hidden="false" customHeight="false" outlineLevel="0" collapsed="false">
      <c r="H107" s="274"/>
      <c r="I107" s="274"/>
      <c r="P107" s="275" t="s">
        <v>179</v>
      </c>
      <c r="Q107" s="276" t="n">
        <v>68.52</v>
      </c>
    </row>
    <row r="108" customFormat="false" ht="14.5" hidden="false" customHeight="false" outlineLevel="0" collapsed="false">
      <c r="H108" s="274"/>
      <c r="I108" s="274"/>
      <c r="P108" s="275" t="s">
        <v>180</v>
      </c>
      <c r="Q108" s="276" t="n">
        <v>75.73</v>
      </c>
    </row>
    <row r="109" customFormat="false" ht="27" hidden="false" customHeight="false" outlineLevel="0" collapsed="false">
      <c r="H109" s="274"/>
      <c r="I109" s="274"/>
      <c r="P109" s="275" t="s">
        <v>181</v>
      </c>
      <c r="Q109" s="276" t="n">
        <v>53.49</v>
      </c>
    </row>
    <row r="110" customFormat="false" ht="14.5" hidden="false" customHeight="false" outlineLevel="0" collapsed="false">
      <c r="H110" s="274"/>
      <c r="I110" s="274"/>
      <c r="P110" s="275" t="s">
        <v>182</v>
      </c>
      <c r="Q110" s="276" t="n">
        <v>93.76</v>
      </c>
    </row>
    <row r="111" customFormat="false" ht="14.5" hidden="false" customHeight="false" outlineLevel="0" collapsed="false">
      <c r="H111" s="274"/>
      <c r="I111" s="274"/>
      <c r="P111" s="275" t="s">
        <v>183</v>
      </c>
      <c r="Q111" s="276" t="n">
        <v>117.2</v>
      </c>
    </row>
    <row r="112" customFormat="false" ht="14.5" hidden="false" customHeight="false" outlineLevel="0" collapsed="false">
      <c r="H112" s="274"/>
      <c r="I112" s="274"/>
      <c r="P112" s="275" t="s">
        <v>184</v>
      </c>
      <c r="Q112" s="276" t="n">
        <v>114.19</v>
      </c>
    </row>
    <row r="113" customFormat="false" ht="27" hidden="false" customHeight="false" outlineLevel="0" collapsed="false">
      <c r="H113" s="274"/>
      <c r="I113" s="274"/>
      <c r="P113" s="275" t="s">
        <v>185</v>
      </c>
      <c r="Q113" s="276" t="n">
        <v>183.91</v>
      </c>
    </row>
    <row r="114" customFormat="false" ht="27" hidden="false" customHeight="false" outlineLevel="0" collapsed="false">
      <c r="H114" s="274"/>
      <c r="I114" s="274"/>
      <c r="P114" s="275" t="s">
        <v>186</v>
      </c>
      <c r="Q114" s="276" t="n">
        <v>119</v>
      </c>
    </row>
    <row r="115" customFormat="false" ht="14.5" hidden="false" customHeight="false" outlineLevel="0" collapsed="false">
      <c r="H115" s="274"/>
      <c r="I115" s="274"/>
      <c r="P115" s="275" t="s">
        <v>187</v>
      </c>
      <c r="Q115" s="276" t="n">
        <v>149.05</v>
      </c>
    </row>
    <row r="116" customFormat="false" ht="14.5" hidden="false" customHeight="false" outlineLevel="0" collapsed="false">
      <c r="H116" s="274"/>
      <c r="I116" s="274"/>
      <c r="P116" s="275" t="s">
        <v>188</v>
      </c>
      <c r="Q116" s="276" t="n">
        <v>267.45</v>
      </c>
    </row>
    <row r="117" customFormat="false" ht="14.5" hidden="false" customHeight="false" outlineLevel="0" collapsed="false">
      <c r="H117" s="274"/>
      <c r="I117" s="274"/>
      <c r="P117" s="275" t="s">
        <v>189</v>
      </c>
      <c r="Q117" s="276" t="n">
        <v>79.33</v>
      </c>
    </row>
    <row r="118" customFormat="false" ht="14.5" hidden="false" customHeight="false" outlineLevel="0" collapsed="false">
      <c r="H118" s="274"/>
      <c r="I118" s="274"/>
      <c r="P118" s="275" t="s">
        <v>190</v>
      </c>
      <c r="Q118" s="276" t="n">
        <v>99.77</v>
      </c>
    </row>
    <row r="119" customFormat="false" ht="14.5" hidden="false" customHeight="false" outlineLevel="0" collapsed="false">
      <c r="H119" s="274"/>
      <c r="I119" s="274"/>
      <c r="P119" s="275" t="s">
        <v>191</v>
      </c>
      <c r="Q119" s="276" t="n">
        <v>97.96</v>
      </c>
    </row>
    <row r="120" customFormat="false" ht="27" hidden="false" customHeight="false" outlineLevel="0" collapsed="false">
      <c r="H120" s="274"/>
      <c r="I120" s="274"/>
      <c r="P120" s="275" t="s">
        <v>192</v>
      </c>
      <c r="Q120" s="276" t="n">
        <v>75.13</v>
      </c>
    </row>
    <row r="121" customFormat="false" ht="14.5" hidden="false" customHeight="false" outlineLevel="0" collapsed="false">
      <c r="H121" s="274"/>
      <c r="I121" s="274"/>
      <c r="P121" s="275" t="s">
        <v>193</v>
      </c>
      <c r="Q121" s="276" t="n">
        <v>173.09</v>
      </c>
    </row>
    <row r="122" customFormat="false" ht="14.5" hidden="false" customHeight="false" outlineLevel="0" collapsed="false">
      <c r="H122" s="274"/>
      <c r="I122" s="274"/>
      <c r="P122" s="275" t="s">
        <v>194</v>
      </c>
      <c r="Q122" s="276" t="n">
        <v>174.29</v>
      </c>
    </row>
    <row r="123" customFormat="false" ht="14.5" hidden="false" customHeight="false" outlineLevel="0" collapsed="false">
      <c r="H123" s="274"/>
      <c r="I123" s="274"/>
      <c r="P123" s="275" t="s">
        <v>195</v>
      </c>
      <c r="Q123" s="276" t="n">
        <v>81.14</v>
      </c>
    </row>
    <row r="124" customFormat="false" ht="14.5" hidden="false" customHeight="false" outlineLevel="0" collapsed="false">
      <c r="H124" s="274"/>
      <c r="I124" s="274"/>
      <c r="P124" s="275" t="s">
        <v>196</v>
      </c>
      <c r="Q124" s="276" t="n">
        <v>96.16</v>
      </c>
    </row>
    <row r="125" customFormat="false" ht="14.5" hidden="false" customHeight="false" outlineLevel="0" collapsed="false">
      <c r="H125" s="274"/>
      <c r="I125" s="274"/>
      <c r="P125" s="275" t="s">
        <v>197</v>
      </c>
      <c r="Q125" s="276" t="n">
        <v>90.15</v>
      </c>
    </row>
    <row r="126" customFormat="false" ht="14.5" hidden="false" customHeight="false" outlineLevel="0" collapsed="false">
      <c r="H126" s="274"/>
      <c r="I126" s="274"/>
      <c r="P126" s="275" t="s">
        <v>198</v>
      </c>
      <c r="Q126" s="276" t="n">
        <v>60.7</v>
      </c>
    </row>
    <row r="127" customFormat="false" ht="14.5" hidden="false" customHeight="false" outlineLevel="0" collapsed="false">
      <c r="H127" s="274"/>
      <c r="I127" s="274"/>
      <c r="P127" s="275" t="s">
        <v>199</v>
      </c>
      <c r="Q127" s="276" t="n">
        <v>72.12</v>
      </c>
    </row>
    <row r="128" customFormat="false" ht="14.5" hidden="false" customHeight="false" outlineLevel="0" collapsed="false">
      <c r="H128" s="274"/>
      <c r="I128" s="274"/>
      <c r="P128" s="275" t="s">
        <v>200</v>
      </c>
      <c r="Q128" s="276" t="n">
        <v>67.31</v>
      </c>
    </row>
    <row r="129" customFormat="false" ht="27" hidden="false" customHeight="false" outlineLevel="0" collapsed="false">
      <c r="H129" s="274"/>
      <c r="I129" s="274"/>
      <c r="P129" s="275" t="s">
        <v>201</v>
      </c>
      <c r="Q129" s="276" t="n">
        <v>91.35</v>
      </c>
    </row>
    <row r="130" customFormat="false" ht="14.5" hidden="false" customHeight="false" outlineLevel="0" collapsed="false">
      <c r="H130" s="274"/>
      <c r="I130" s="274"/>
      <c r="P130" s="275" t="s">
        <v>202</v>
      </c>
      <c r="Q130" s="276" t="n">
        <v>156.26</v>
      </c>
    </row>
    <row r="131" customFormat="false" ht="39.5" hidden="false" customHeight="false" outlineLevel="0" collapsed="false">
      <c r="H131" s="274"/>
      <c r="I131" s="274"/>
      <c r="P131" s="275" t="s">
        <v>203</v>
      </c>
      <c r="Q131" s="276" t="n">
        <v>115.39</v>
      </c>
    </row>
    <row r="132" customFormat="false" ht="27" hidden="false" customHeight="false" outlineLevel="0" collapsed="false">
      <c r="H132" s="274"/>
      <c r="I132" s="274"/>
      <c r="P132" s="275" t="s">
        <v>204</v>
      </c>
      <c r="Q132" s="276" t="n">
        <v>119</v>
      </c>
    </row>
    <row r="133" customFormat="false" ht="14.5" hidden="false" customHeight="false" outlineLevel="0" collapsed="false">
      <c r="H133" s="274"/>
      <c r="I133" s="274"/>
      <c r="P133" s="275" t="s">
        <v>205</v>
      </c>
      <c r="Q133" s="276" t="n">
        <v>90.15</v>
      </c>
    </row>
    <row r="134" customFormat="false" ht="39.5" hidden="false" customHeight="false" outlineLevel="0" collapsed="false">
      <c r="H134" s="274"/>
      <c r="I134" s="274"/>
      <c r="P134" s="275" t="s">
        <v>206</v>
      </c>
      <c r="Q134" s="276" t="n">
        <v>127.41</v>
      </c>
    </row>
    <row r="135" customFormat="false" ht="12.75" hidden="false" customHeight="false" outlineLevel="0" collapsed="false">
      <c r="I135" s="277"/>
      <c r="P135" s="179" t="s">
        <v>104</v>
      </c>
      <c r="Q135" s="277" t="n">
        <v>0</v>
      </c>
    </row>
  </sheetData>
  <sheetProtection algorithmName="SHA-512" hashValue="bFAUsfe2Kx5kS13YHViMNV7PTqHeFx5mdlt/FSwmtiBEk5By2VW0Gnc4GBTSRonINPBaXCQy5CPqfBwAwvqXuw==" saltValue="JPZTszLoltSM+VEjTs3jOw==" spinCount="100000" sheet="true" objects="true" scenarios="true" selectLockedCells="true"/>
  <mergeCells count="44">
    <mergeCell ref="A1:M1"/>
    <mergeCell ref="J2:L2"/>
    <mergeCell ref="A3:E3"/>
    <mergeCell ref="F3:G3"/>
    <mergeCell ref="B4:E4"/>
    <mergeCell ref="F4:G4"/>
    <mergeCell ref="C5:G5"/>
    <mergeCell ref="C6:G6"/>
    <mergeCell ref="C7:G7"/>
    <mergeCell ref="A8:G8"/>
    <mergeCell ref="A10:B11"/>
    <mergeCell ref="C10:C11"/>
    <mergeCell ref="D10:F11"/>
    <mergeCell ref="G10:G11"/>
    <mergeCell ref="D12:F12"/>
    <mergeCell ref="D13:F13"/>
    <mergeCell ref="D14:F14"/>
    <mergeCell ref="D15:F15"/>
    <mergeCell ref="D16:F16"/>
    <mergeCell ref="D17:F17"/>
    <mergeCell ref="D18:F18"/>
    <mergeCell ref="D19:F19"/>
    <mergeCell ref="A20:B20"/>
    <mergeCell ref="C20:G20"/>
    <mergeCell ref="A22:B22"/>
    <mergeCell ref="C22:D22"/>
    <mergeCell ref="E22:G22"/>
    <mergeCell ref="A23:B23"/>
    <mergeCell ref="C23:D23"/>
    <mergeCell ref="E23:G23"/>
    <mergeCell ref="C24:D24"/>
    <mergeCell ref="E24:G24"/>
    <mergeCell ref="A25:B25"/>
    <mergeCell ref="C25:D25"/>
    <mergeCell ref="E25:G25"/>
    <mergeCell ref="A26:B26"/>
    <mergeCell ref="C26:D26"/>
    <mergeCell ref="E26:G26"/>
    <mergeCell ref="A27:B27"/>
    <mergeCell ref="C27:D27"/>
    <mergeCell ref="E27:G27"/>
    <mergeCell ref="A30:F30"/>
    <mergeCell ref="H36:I36"/>
    <mergeCell ref="P36:Q36"/>
  </mergeCells>
  <conditionalFormatting sqref="G16">
    <cfRule type="cellIs" priority="2" operator="greaterThan" aboveAverage="0" equalAverage="0" bottom="0" percent="0" rank="0" text="" dxfId="5">
      <formula>1</formula>
    </cfRule>
  </conditionalFormatting>
  <conditionalFormatting sqref="G12">
    <cfRule type="cellIs" priority="3" operator="greaterThan" aboveAverage="0" equalAverage="0" bottom="0" percent="0" rank="0" text="" dxfId="6">
      <formula>1</formula>
    </cfRule>
  </conditionalFormatting>
  <conditionalFormatting sqref="D17">
    <cfRule type="cellIs" priority="4" operator="greaterThan" aboveAverage="0" equalAverage="0" bottom="0" percent="0" rank="0" text="" dxfId="7">
      <formula>1</formula>
    </cfRule>
  </conditionalFormatting>
  <conditionalFormatting sqref="G18">
    <cfRule type="cellIs" priority="5" operator="greaterThan" aboveAverage="0" equalAverage="0" bottom="0" percent="0" rank="0" text="" dxfId="8">
      <formula>1</formula>
    </cfRule>
  </conditionalFormatting>
  <conditionalFormatting sqref="D19">
    <cfRule type="cellIs" priority="6" operator="greaterThan" aboveAverage="0" equalAverage="0" bottom="0" percent="0" rank="0" text="" dxfId="9">
      <formula>1</formula>
    </cfRule>
  </conditionalFormatting>
  <conditionalFormatting sqref="F4:G4">
    <cfRule type="cellIs" priority="7" operator="equal" aboveAverage="0" equalAverage="0" bottom="0" percent="0" rank="0" text="" dxfId="10">
      <formula>""</formula>
    </cfRule>
    <cfRule type="expression" priority="8" aboveAverage="0" equalAverage="0" bottom="0" percent="0" rank="0" text="" dxfId="11">
      <formula>"F4="""""</formula>
    </cfRule>
    <cfRule type="expression" priority="9" aboveAverage="0" equalAverage="0" bottom="0" percent="0" rank="0" text="" dxfId="12">
      <formula>""</formula>
    </cfRule>
  </conditionalFormatting>
  <conditionalFormatting sqref="J12:J19">
    <cfRule type="expression" priority="10" aboveAverage="0" equalAverage="0" bottom="0" percent="0" rank="0" text="" dxfId="13">
      <formula>"suma($C$13:$G$13)&gt;2"</formula>
    </cfRule>
  </conditionalFormatting>
  <dataValidations count="4">
    <dataValidation allowBlank="true" errorStyle="stop" operator="between" prompt="ELIJA EL PAIS AL QUE VA" showDropDown="false" showErrorMessage="true" showInputMessage="true" sqref="A25:B25" type="list">
      <formula1>$P$37:$P$135</formula1>
      <formula2>0</formula2>
    </dataValidation>
    <dataValidation allowBlank="true" errorStyle="stop" operator="between" showDropDown="false" showErrorMessage="true" showInputMessage="true" sqref="D14:F14 G15" type="whole">
      <formula1>1</formula1>
      <formula2>1</formula2>
    </dataValidation>
    <dataValidation allowBlank="true" errorStyle="stop" operator="between" showDropDown="false" showErrorMessage="true" showInputMessage="true" sqref="D12:F12 G13" type="whole">
      <formula1>1</formula1>
      <formula2>15</formula2>
    </dataValidation>
    <dataValidation allowBlank="true" errorStyle="stop" operator="between" showDropDown="false" showErrorMessage="true" showInputMessage="true" sqref="D16:F16" type="decimal">
      <formula1>1</formula1>
      <formula2>15</formula2>
    </dataValidation>
  </dataValidations>
  <printOptions headings="false" gridLines="false" gridLinesSet="true" horizontalCentered="false" verticalCentered="false"/>
  <pageMargins left="0.315277777777778" right="0.315277777777778" top="0.275694444444444" bottom="0.157638888888889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&amp;R&amp;F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50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B50" activeCellId="0" sqref="B50"/>
    </sheetView>
  </sheetViews>
  <sheetFormatPr defaultColWidth="11.4453125" defaultRowHeight="12.75" zeroHeight="false" outlineLevelRow="0" outlineLevelCol="0"/>
  <cols>
    <col collapsed="false" customWidth="true" hidden="false" outlineLevel="0" max="2" min="2" style="76" width="79.57"/>
  </cols>
  <sheetData>
    <row r="1" customFormat="false" ht="21" hidden="false" customHeight="true" outlineLevel="0" collapsed="false">
      <c r="A1" s="278" t="s">
        <v>207</v>
      </c>
      <c r="B1" s="278"/>
      <c r="C1" s="278"/>
      <c r="D1" s="278"/>
      <c r="E1" s="278"/>
      <c r="F1" s="278"/>
    </row>
    <row r="2" customFormat="false" ht="12.75" hidden="false" customHeight="false" outlineLevel="0" collapsed="false">
      <c r="B2" s="279" t="s">
        <v>208</v>
      </c>
      <c r="C2" s="279"/>
      <c r="D2" s="279"/>
      <c r="E2" s="279"/>
    </row>
    <row r="3" customFormat="false" ht="12.75" hidden="false" customHeight="false" outlineLevel="0" collapsed="false">
      <c r="B3" s="280" t="s">
        <v>209</v>
      </c>
    </row>
    <row r="4" customFormat="false" ht="6" hidden="false" customHeight="true" outlineLevel="0" collapsed="false"/>
    <row r="5" customFormat="false" ht="12.75" hidden="false" customHeight="false" outlineLevel="0" collapsed="false">
      <c r="A5" s="281" t="s">
        <v>210</v>
      </c>
    </row>
    <row r="6" customFormat="false" ht="13" hidden="false" customHeight="false" outlineLevel="0" collapsed="false">
      <c r="B6" s="281" t="s">
        <v>211</v>
      </c>
    </row>
    <row r="7" customFormat="false" ht="13" hidden="false" customHeight="false" outlineLevel="0" collapsed="false">
      <c r="B7" s="281" t="s">
        <v>212</v>
      </c>
    </row>
    <row r="8" customFormat="false" ht="13" hidden="false" customHeight="false" outlineLevel="0" collapsed="false">
      <c r="B8" s="281" t="s">
        <v>213</v>
      </c>
    </row>
    <row r="9" customFormat="false" ht="12.75" hidden="false" customHeight="false" outlineLevel="0" collapsed="false">
      <c r="B9" s="281" t="s">
        <v>214</v>
      </c>
    </row>
    <row r="10" customFormat="false" ht="13" hidden="false" customHeight="false" outlineLevel="0" collapsed="false">
      <c r="B10" s="281" t="s">
        <v>215</v>
      </c>
    </row>
    <row r="11" customFormat="false" ht="13" hidden="false" customHeight="false" outlineLevel="0" collapsed="false">
      <c r="B11" s="281" t="s">
        <v>216</v>
      </c>
      <c r="C11" s="76" t="s">
        <v>217</v>
      </c>
    </row>
    <row r="12" customFormat="false" ht="13" hidden="false" customHeight="false" outlineLevel="0" collapsed="false">
      <c r="B12" s="281" t="s">
        <v>218</v>
      </c>
      <c r="C12" s="282"/>
    </row>
    <row r="13" customFormat="false" ht="13" hidden="false" customHeight="false" outlineLevel="0" collapsed="false">
      <c r="B13" s="281" t="s">
        <v>219</v>
      </c>
    </row>
    <row r="14" customFormat="false" ht="12.75" hidden="false" customHeight="false" outlineLevel="0" collapsed="false">
      <c r="B14" s="283" t="s">
        <v>220</v>
      </c>
    </row>
    <row r="15" customFormat="false" ht="12.75" hidden="false" customHeight="false" outlineLevel="0" collapsed="false">
      <c r="B15" s="284" t="s">
        <v>221</v>
      </c>
    </row>
    <row r="16" customFormat="false" ht="12.75" hidden="false" customHeight="false" outlineLevel="0" collapsed="false">
      <c r="B16" s="284" t="s">
        <v>222</v>
      </c>
    </row>
    <row r="17" customFormat="false" ht="12.75" hidden="false" customHeight="false" outlineLevel="0" collapsed="false">
      <c r="B17" s="283" t="s">
        <v>223</v>
      </c>
    </row>
    <row r="18" customFormat="false" ht="12.75" hidden="false" customHeight="false" outlineLevel="0" collapsed="false">
      <c r="B18" s="284" t="s">
        <v>224</v>
      </c>
    </row>
    <row r="19" customFormat="false" ht="13" hidden="false" customHeight="false" outlineLevel="0" collapsed="false">
      <c r="B19" s="281" t="s">
        <v>225</v>
      </c>
    </row>
    <row r="20" customFormat="false" ht="13" hidden="false" customHeight="false" outlineLevel="0" collapsed="false">
      <c r="B20" s="281" t="s">
        <v>226</v>
      </c>
    </row>
    <row r="21" customFormat="false" ht="13" hidden="false" customHeight="false" outlineLevel="0" collapsed="false">
      <c r="B21" s="285" t="s">
        <v>227</v>
      </c>
      <c r="F21" s="76" t="s">
        <v>228</v>
      </c>
    </row>
    <row r="22" customFormat="false" ht="13" hidden="false" customHeight="false" outlineLevel="0" collapsed="false">
      <c r="B22" s="281" t="s">
        <v>229</v>
      </c>
    </row>
    <row r="23" customFormat="false" ht="13" hidden="false" customHeight="false" outlineLevel="0" collapsed="false">
      <c r="B23" s="281" t="s">
        <v>230</v>
      </c>
    </row>
    <row r="24" customFormat="false" ht="13" hidden="false" customHeight="false" outlineLevel="0" collapsed="false">
      <c r="B24" s="281" t="s">
        <v>231</v>
      </c>
    </row>
    <row r="25" customFormat="false" ht="13" hidden="false" customHeight="false" outlineLevel="0" collapsed="false">
      <c r="B25" s="281" t="s">
        <v>232</v>
      </c>
    </row>
    <row r="27" customFormat="false" ht="12.75" hidden="false" customHeight="false" outlineLevel="0" collapsed="false">
      <c r="A27" s="281" t="s">
        <v>233</v>
      </c>
    </row>
    <row r="28" customFormat="false" ht="12.75" hidden="false" customHeight="false" outlineLevel="0" collapsed="false">
      <c r="B28" s="286" t="s">
        <v>234</v>
      </c>
    </row>
    <row r="29" customFormat="false" ht="12.75" hidden="false" customHeight="false" outlineLevel="0" collapsed="false">
      <c r="B29" s="287" t="s">
        <v>235</v>
      </c>
    </row>
    <row r="31" customFormat="false" ht="12.75" hidden="false" customHeight="false" outlineLevel="0" collapsed="false">
      <c r="B31" s="280" t="s">
        <v>236</v>
      </c>
    </row>
    <row r="32" customFormat="false" ht="6.75" hidden="false" customHeight="true" outlineLevel="0" collapsed="false"/>
    <row r="33" customFormat="false" ht="12" hidden="false" customHeight="true" outlineLevel="0" collapsed="false">
      <c r="A33" s="281" t="s">
        <v>237</v>
      </c>
    </row>
    <row r="34" customFormat="false" ht="13" hidden="false" customHeight="false" outlineLevel="0" collapsed="false">
      <c r="A34" s="76" t="s">
        <v>238</v>
      </c>
    </row>
    <row r="35" customFormat="false" ht="13" hidden="false" customHeight="false" outlineLevel="0" collapsed="false">
      <c r="B35" s="281" t="s">
        <v>225</v>
      </c>
    </row>
    <row r="36" customFormat="false" ht="13" hidden="false" customHeight="false" outlineLevel="0" collapsed="false">
      <c r="B36" s="281" t="s">
        <v>239</v>
      </c>
    </row>
    <row r="37" customFormat="false" ht="13" hidden="false" customHeight="false" outlineLevel="0" collapsed="false">
      <c r="B37" s="281" t="s">
        <v>240</v>
      </c>
    </row>
    <row r="38" customFormat="false" ht="13" hidden="false" customHeight="false" outlineLevel="0" collapsed="false">
      <c r="B38" s="281" t="s">
        <v>241</v>
      </c>
    </row>
    <row r="39" customFormat="false" ht="13" hidden="false" customHeight="false" outlineLevel="0" collapsed="false">
      <c r="B39" s="281" t="s">
        <v>242</v>
      </c>
    </row>
    <row r="40" customFormat="false" ht="12.75" hidden="false" customHeight="false" outlineLevel="0" collapsed="false">
      <c r="B40" s="287" t="s">
        <v>243</v>
      </c>
    </row>
    <row r="42" customFormat="false" ht="12.75" hidden="false" customHeight="false" outlineLevel="0" collapsed="false">
      <c r="A42" s="281" t="s">
        <v>244</v>
      </c>
    </row>
    <row r="43" customFormat="false" ht="13" hidden="false" customHeight="false" outlineLevel="0" collapsed="false">
      <c r="A43" s="286" t="s">
        <v>245</v>
      </c>
    </row>
    <row r="44" customFormat="false" ht="12.75" hidden="false" customHeight="false" outlineLevel="0" collapsed="false">
      <c r="A44" s="286" t="s">
        <v>246</v>
      </c>
    </row>
    <row r="46" customFormat="false" ht="12.75" hidden="false" customHeight="false" outlineLevel="0" collapsed="false">
      <c r="B46" s="280" t="s">
        <v>247</v>
      </c>
    </row>
    <row r="47" customFormat="false" ht="12.75" hidden="false" customHeight="false" outlineLevel="0" collapsed="false">
      <c r="B47" s="286" t="s">
        <v>248</v>
      </c>
    </row>
    <row r="48" customFormat="false" ht="15" hidden="false" customHeight="false" outlineLevel="0" collapsed="false">
      <c r="B48" s="288" t="s">
        <v>249</v>
      </c>
    </row>
    <row r="49" customFormat="false" ht="15" hidden="false" customHeight="false" outlineLevel="0" collapsed="false">
      <c r="B49" s="288" t="s">
        <v>250</v>
      </c>
    </row>
    <row r="50" customFormat="false" ht="15" hidden="false" customHeight="false" outlineLevel="0" collapsed="false">
      <c r="B50" s="288" t="s">
        <v>251</v>
      </c>
    </row>
  </sheetData>
  <sheetProtection algorithmName="SHA-512" hashValue="RpyztPByRD5vR9oMLfE+oMwNXxUJUOd9SrkJ0fXnxgQWCQukzKTzvDYum6B2vjPtqLtpeH5suY/Fzn71mLpXwA==" saltValue="fTLoR8h1zTkRWjSYR4Kogw==" spinCount="100000" sheet="true" objects="true" scenarios="true" selectLockedCells="true"/>
  <mergeCells count="2">
    <mergeCell ref="A1:F1"/>
    <mergeCell ref="B2:E2"/>
  </mergeCells>
  <printOptions headings="false" gridLines="false" gridLinesSet="true" horizontalCentered="false" verticalCentered="false"/>
  <pageMargins left="0.55" right="0.75" top="0.170138888888889" bottom="0.334722222222222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MEC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2001-04-02T06:50:33Z</dcterms:created>
  <dc:creator>Juan Jesus Felipe Pizarro</dc:creator>
  <dc:description/>
  <dc:language>es-ES</dc:language>
  <cp:lastModifiedBy/>
  <cp:lastPrinted>2025-05-14T12:08:11Z</cp:lastPrinted>
  <dcterms:modified xsi:type="dcterms:W3CDTF">2026-04-14T12:22:20Z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